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llaborate.mcd.com/sites/SecuringtheArches/Shared Documents/General/SecureSquad/"/>
    </mc:Choice>
  </mc:AlternateContent>
  <xr:revisionPtr revIDLastSave="3" documentId="8_{D6042781-24B5-4526-B1F3-248A3233CFB4}" xr6:coauthVersionLast="47" xr6:coauthVersionMax="47" xr10:uidLastSave="{2097CFF2-EBCA-49C8-B8BA-63DE5291B69C}"/>
  <bookViews>
    <workbookView xWindow="28680" yWindow="-120" windowWidth="38640" windowHeight="15720" tabRatio="500" firstSheet="8" activeTab="15" xr2:uid="{00000000-000D-0000-FFFF-FFFF00000000}"/>
  </bookViews>
  <sheets>
    <sheet name="Domains" sheetId="1" r:id="rId1"/>
    <sheet name="Meeting Status" sheetId="2" state="hidden" r:id="rId2"/>
    <sheet name="Identity &amp; Directory" sheetId="3" r:id="rId3"/>
    <sheet name="Network" sheetId="4" r:id="rId4"/>
    <sheet name="Hosting &amp; Cloud" sheetId="5" r:id="rId5"/>
    <sheet name="M365 &amp; Email Security" sheetId="6" r:id="rId6"/>
    <sheet name="AI" sheetId="7" r:id="rId7"/>
    <sheet name="Application Inventory" sheetId="8" r:id="rId8"/>
    <sheet name="Endpoint" sheetId="9" r:id="rId9"/>
    <sheet name="Defense &amp; Response" sheetId="10" r:id="rId10"/>
    <sheet name="Third Parties &amp; Vendors" sheetId="11" r:id="rId11"/>
    <sheet name="Data &amp; Storage" sheetId="12" r:id="rId12"/>
    <sheet name="Policy Analysis" sheetId="13" state="hidden" r:id="rId13"/>
    <sheet name="Scoring Criteria" sheetId="14" r:id="rId14"/>
    <sheet name="Scoring" sheetId="15" r:id="rId15"/>
    <sheet name="Score Rollup" sheetId="16" r:id="rId16"/>
  </sheets>
  <definedNames>
    <definedName name="_xlnm._FilterDatabase" localSheetId="6" hidden="1">AI!$B$5:$H$13</definedName>
    <definedName name="_xlnm._FilterDatabase" localSheetId="7" hidden="1">'Application Inventory'!$B$5:$H$12</definedName>
    <definedName name="_xlnm._FilterDatabase" localSheetId="11" hidden="1">'Data &amp; Storage'!$B$5:$H$13</definedName>
    <definedName name="_xlnm._FilterDatabase" localSheetId="9" hidden="1">'Defense &amp; Response'!$B$5:$H$7</definedName>
    <definedName name="_xlnm._FilterDatabase" localSheetId="8" hidden="1">Endpoint!$B$5:$H$12</definedName>
    <definedName name="_xlnm._FilterDatabase" localSheetId="4" hidden="1">'Hosting &amp; Cloud'!$B$5:$I$22</definedName>
    <definedName name="_xlnm._FilterDatabase" localSheetId="2" hidden="1">'Identity &amp; Directory'!$B$5:$J$14</definedName>
    <definedName name="_xlnm._FilterDatabase" localSheetId="5" hidden="1">'M365 &amp; Email Security'!$B$5:$H$8</definedName>
    <definedName name="_xlnm._FilterDatabase" localSheetId="3" hidden="1">Network!$B$5:$I$14</definedName>
    <definedName name="_xlnm._FilterDatabase" localSheetId="10" hidden="1">'Third Parties &amp; Vendors'!$B$5:$H$6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4" i="16" l="1"/>
  <c r="B14" i="16"/>
  <c r="D14" i="16" s="1"/>
  <c r="E14" i="16" s="1"/>
  <c r="C13" i="16"/>
  <c r="B13" i="16"/>
  <c r="D13" i="16" s="1"/>
  <c r="E13" i="16" s="1"/>
  <c r="C12" i="16"/>
  <c r="B12" i="16"/>
  <c r="D12" i="16" s="1"/>
  <c r="E12" i="16" s="1"/>
  <c r="C11" i="16"/>
  <c r="B11" i="16"/>
  <c r="D11" i="16" s="1"/>
  <c r="E11" i="16" s="1"/>
  <c r="C10" i="16"/>
  <c r="B10" i="16"/>
  <c r="D10" i="16" s="1"/>
  <c r="E10" i="16" s="1"/>
  <c r="C9" i="16"/>
  <c r="B9" i="16"/>
  <c r="D9" i="16" s="1"/>
  <c r="E9" i="16" s="1"/>
  <c r="C8" i="16"/>
  <c r="B8" i="16"/>
  <c r="D8" i="16" s="1"/>
  <c r="E8" i="16" s="1"/>
  <c r="C7" i="16"/>
  <c r="B7" i="16"/>
  <c r="D7" i="16" s="1"/>
  <c r="E7" i="16" s="1"/>
  <c r="C6" i="16"/>
  <c r="B6" i="16"/>
  <c r="D6" i="16" s="1"/>
  <c r="E6" i="16" s="1"/>
  <c r="C5" i="16"/>
  <c r="C15" i="16" s="1"/>
  <c r="B5" i="16"/>
  <c r="B15" i="16" s="1"/>
  <c r="D5" i="16" l="1"/>
  <c r="D15" i="16" l="1"/>
  <c r="E15" i="16" s="1"/>
  <c r="E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2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AD
IGA
PAM??</t>
        </r>
      </text>
    </comment>
    <comment ref="B8" authorId="0" shapeId="0" xr:uid="{00000000-0006-0000-0200-000002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use Own AD and have access to Corp 
Reply:
    Apps protected with SSO &amp; MFA
Have a McD environment controlled DC
Have IT Admin privileges right-sized
VPN from their Directory? Their VPN must have MFA
</t>
        </r>
      </text>
    </comment>
    <comment ref="C14" authorId="0" shapeId="0" xr:uid="{00000000-0006-0000-02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Unknown to MHQ how this is done.
Governance on how they manage devices, computers and hygiene on that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7" authorId="0" shapeId="0" xr:uid="{00000000-0006-0000-03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NGFW - Acrom Tool for all markets unless corp manages everything
VPN
Secure Web Gateway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4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CSPM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8" authorId="0" shapeId="0" xr:uid="{00000000-0006-0000-05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Email Security Gateway - Unless in conjunction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7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DAST
SAST
EWAAP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8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MDM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7" authorId="0" shapeId="0" xr:uid="{00000000-0006-0000-0A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How third parties have access to MCD access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6" authorId="0" shapeId="0" xr:uid="{00000000-0006-0000-0B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DLP
Plug in DSPM and SSPM and see what we find</t>
        </r>
      </text>
    </comment>
    <comment ref="J6" authorId="0" shapeId="0" xr:uid="{00000000-0006-0000-0B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Need to incorporate these questions</t>
        </r>
      </text>
    </comment>
  </commentList>
</comments>
</file>

<file path=xl/sharedStrings.xml><?xml version="1.0" encoding="utf-8"?>
<sst xmlns="http://schemas.openxmlformats.org/spreadsheetml/2006/main" count="1518" uniqueCount="790">
  <si>
    <t>Domains</t>
  </si>
  <si>
    <t>MCD Point Of Contact</t>
  </si>
  <si>
    <t>Summary</t>
  </si>
  <si>
    <t>Identity &amp; Directory</t>
  </si>
  <si>
    <t>Ryan Powers</t>
  </si>
  <si>
    <t xml:space="preserve">5 Technologies </t>
  </si>
  <si>
    <t>4 Processes</t>
  </si>
  <si>
    <t>Network</t>
  </si>
  <si>
    <t>Anil Daniel, Al Zieba</t>
  </si>
  <si>
    <t>5 Technologies</t>
  </si>
  <si>
    <t>6  Processes</t>
  </si>
  <si>
    <t>Hosting &amp; Cloud</t>
  </si>
  <si>
    <t>Jon Heron</t>
  </si>
  <si>
    <t xml:space="preserve">1 Technology </t>
  </si>
  <si>
    <t>3  Processes</t>
  </si>
  <si>
    <t>M365 &amp; Email Security</t>
  </si>
  <si>
    <t>Shelby Kigor</t>
  </si>
  <si>
    <t xml:space="preserve">1 Technologies </t>
  </si>
  <si>
    <t>AI</t>
  </si>
  <si>
    <t xml:space="preserve">0  Technology </t>
  </si>
  <si>
    <t>1  Processes</t>
  </si>
  <si>
    <t>Application Inventory</t>
  </si>
  <si>
    <t>Scott Farnum, Adam Slowik</t>
  </si>
  <si>
    <t>3 Technologies</t>
  </si>
  <si>
    <t>Endpoint</t>
  </si>
  <si>
    <t>Rob Billingsby, Wolfgang Hoffman, Jon Heron, Michael Debleffetti</t>
  </si>
  <si>
    <t>Defense &amp; Response</t>
  </si>
  <si>
    <t>Matt Clemons</t>
  </si>
  <si>
    <t>0 Technologies</t>
  </si>
  <si>
    <t>2 Processes</t>
  </si>
  <si>
    <t>Third Parties &amp; Vendors</t>
  </si>
  <si>
    <t>Elena</t>
  </si>
  <si>
    <t>Data &amp; Storage</t>
  </si>
  <si>
    <t>Ryan Toscano</t>
  </si>
  <si>
    <t>4 Technologies</t>
  </si>
  <si>
    <t>MCD Contacts</t>
  </si>
  <si>
    <t>Status</t>
  </si>
  <si>
    <t>Complete</t>
  </si>
  <si>
    <t>Scheduled</t>
  </si>
  <si>
    <t>Technology / Process</t>
  </si>
  <si>
    <t xml:space="preserve">Item </t>
  </si>
  <si>
    <t>Description</t>
  </si>
  <si>
    <t>McDonald's Preferred Tooling</t>
  </si>
  <si>
    <t>Scope &amp; Cadence</t>
  </si>
  <si>
    <t>Standard/Policy Referenced</t>
  </si>
  <si>
    <t>Current Policy Language</t>
  </si>
  <si>
    <t>Current Language Summary</t>
  </si>
  <si>
    <t>Suggested Update</t>
  </si>
  <si>
    <t>Notes</t>
  </si>
  <si>
    <t>Technology</t>
  </si>
  <si>
    <t>Identity Provider (IdP)</t>
  </si>
  <si>
    <t>Centralizes user identity management and authentication, acting as the authoritative source for who can access what across the organization's systems and applications.</t>
  </si>
  <si>
    <t>Active Directory</t>
  </si>
  <si>
    <t>Any human (user), devices, and applications requiring access to any McDonald's IT resource</t>
  </si>
  <si>
    <t>N/A</t>
  </si>
  <si>
    <t>The current language establishes centralized authentication through an enterprise directory. It signals a central identity model, but does not fully define the enterprise IdP strategy, approved federation methods, application coverage expectations, or exception handling.</t>
  </si>
  <si>
    <t>Privileged Access Management (PAM)</t>
  </si>
  <si>
    <t>Controls, monitors, and audits access for privileged accounts, ensuring admin and service credentials are vaulted, time-limited, and fully auditable.</t>
  </si>
  <si>
    <t>Restaurant: BeyondTrust
Enterprise: Cloud PAM</t>
  </si>
  <si>
    <t>All accounts on enterprise applications</t>
  </si>
  <si>
    <t>Identity and Access Management Standard.pdf • p7: “Allocation and use of privileged access rights shall be restricted and controlled… Privileged accounts shall be kept to minimum…” 
Third Party Security Standard.pdf • p.6: “centralized Privileged Access Management (PAM) solution…”</t>
  </si>
  <si>
    <t>The current language clearly recognizes privileged access as a distinct high-risk area that must be minimized and controlled. It also indicates a centralized PAM capability exists, but does not define the full control set expected in a mature PAM standard.</t>
  </si>
  <si>
    <t>Identity Governance &amp; Administration (IGA)</t>
  </si>
  <si>
    <t>Automates the provisioning, deprovisioning, and certification of user access, enforcing least privilege and providing an auditable view of who has access to what.</t>
  </si>
  <si>
    <t>Saviyant (All identities across the globe that are non-crew)</t>
  </si>
  <si>
    <t>All user and service accounts across enterprise applications, directories, and cloud platforms</t>
  </si>
  <si>
    <t>Identity and Access Management Standard.pdf • p4: “integrated with… GIA Platform for provisioning or de-provisioning”
Third Party Security Standard.pdf • p.6: “documented Identity Governance Framework… identity provisioning, de-provisioning, and periodic access recertification”</t>
  </si>
  <si>
    <t>The current language shows that provisioning and deprovisioning are expected to occur through a central governance platform and that recertification is part of the control model. It demonstrates IGA capability, but does not yet define workflow requirements, SoD enforcement, source-of-truth expectations, or evidence retention.</t>
  </si>
  <si>
    <t>Multi-Factor Authentication (MFA)</t>
  </si>
  <si>
    <t>Requires users to verify their identity through a second factor beyond a password, significantly reducing the risk of credential-based attacks.</t>
  </si>
  <si>
    <t>TBD</t>
  </si>
  <si>
    <t>All users &amp; applications accessing corporate systems, applications, and remote services</t>
  </si>
  <si>
    <t>Identity and Access Management Standard.pdf • p5: “Multi-factor authentication shall be enforced.”
Should be updated to include: 
- Approved MFA methods:
- MFA required for:
- MFA token validity:
etc. etc.
Third Party Security Standard.pdf • p.7: “MFA… required for all access”</t>
  </si>
  <si>
    <t>The current language clearly requires MFA and in some places applies it broadly. It is strong foundational language, but does not yet specify factor strength, phishing-resistant requirements, or exception handling expectations.</t>
  </si>
  <si>
    <t>Single Sign-On (SSO)</t>
  </si>
  <si>
    <t>Allows users to authenticate once and gain access to multiple applications, reducing password sprawl and centralizing authentication control.</t>
  </si>
  <si>
    <t>All users accessing federated applications and services across the organization</t>
  </si>
  <si>
    <t>Identity and Access Management Standard.pdf • p5: “MFA must be configured to all single sign on integrated applications…”</t>
  </si>
  <si>
    <t>The current language only addresses MFA for applications already integrated with SSO. It implies SSO exists, but does not directly require enterprise applications to use SSO or clarify whether local authentication remains permissible.</t>
  </si>
  <si>
    <t>Process</t>
  </si>
  <si>
    <t>Joiner, Mover, Leaver (JML) Process</t>
  </si>
  <si>
    <t>Defines how access is granted when a user joins, updated when they change role, and fully revoked when they leave the organization.
Including Birthright</t>
  </si>
  <si>
    <t>All employees, contractors, and third parties with access to corporate systems and data. Triggered by HR events; audit compliance quarterly.</t>
  </si>
  <si>
    <t>Identity and Access Management Standard.pdf • p7: “approve granting and revoking… when workforce members join… move… change roles… or leave…”
Third Party Security Standard.pdf • p.7: “immediate deactivation… upon termination or job role changes”</t>
  </si>
  <si>
    <t>The current language directly ties access changes to workforce lifecycle events and makes clear that terminations and role changes should trigger deactivation. It is solid intent, but still lacks standardized SLA language, trigger source definitions, and reconciliation requirements across systems.</t>
  </si>
  <si>
    <t>Gold-Standard: 1. Define triggers and deprovisioning SLAs.  2. Apply JML controls across employees, contractors, vendors, and privileged accounts.  
Suggested Update: “Access shall be provisioned, modified, or removed based on authoritative workforce status changes, and termination-related deprovisioning shall occur within defined SLA timelines.”</t>
  </si>
  <si>
    <t>Privileged Access Reviews</t>
  </si>
  <si>
    <t>Periodically validates that privileged and admin access is still required and appropriate, removing or reducing rights where no longer justified.</t>
  </si>
  <si>
    <t>All accounts holding elevated or administrative privileges across systems, directories, and cloud platforms. 
- Reviews take place on a quarterly basis.</t>
  </si>
  <si>
    <t>Identity and Access Management Standard.pdf • p7: “reviewed… at least semi-annually…”
Cloud &amp; Hosting Security Standard • p7: “Access shall be reviewed…on an annual basis.”</t>
  </si>
  <si>
    <t>The current language requires periodic access review, but privileged access is not consistently separated from standard access. Review frequency, scope, and remediation expectations for elevated roles are not yet strong enough for a mature privileged review standard.</t>
  </si>
  <si>
    <t>Gold-Standard: 1. Define what privileged means. 2. Create a distinct privileged access review requirement.  3. Require tighter review cadence and remediation timelines for privileged access.  
Suggested Update: “Privileged access shall be reviewed at least quarterly, and unjustified privileged access shall be removed within 5 business days.”</t>
  </si>
  <si>
    <t>Access Certifications</t>
  </si>
  <si>
    <t>Runs scheduled campaigns requiring managers or data owners to formally review and certify that user access remains appropriate and necessary.</t>
  </si>
  <si>
    <t>All users with access to sensitive, regulated, or privileged systems. Semi-annually for standard access; quarterly for privileged access.</t>
  </si>
  <si>
    <t>Identity and Access Management Standard.pdf • p7: “SOX applicable applications’ access review…”
Third Party Security Standard.pdf • p.6: “periodic access recertification”</t>
  </si>
  <si>
    <t>The current language supports formal recertification and recognizes access review as a recurring governance activity. However, it does not yet define one enterprise certification model with standardized cadence, attestation language, scope, and escalation requirements.</t>
  </si>
  <si>
    <t>Gold-Standard: 1. Formalize access certification as an enterprise control with defined cadence.  2. Define standard evidence and escalation requirements.  
Suggested Update: “Access certifications shall be performed on a defined schedule by designated reviewers, with all unresolved items escalated and remediated within approved timelines.”</t>
  </si>
  <si>
    <t>Directory Hygiene &amp; Stale Account Remediation</t>
  </si>
  <si>
    <t>Identifies and remediates dormant, orphaned, or unlinked accounts across Active Directory and other directories to reduce the attack surface.
This includes security group management</t>
  </si>
  <si>
    <t>All accounts in AD, cloud directories, and local systems — particularly those with no active HR record match. Quarterly scan and remediation cycle.</t>
  </si>
  <si>
    <t>Identity and Access Management Standard.pdf • p6: “Inactive accounts shall be disabled after… 90 days.”
Third Party Security Standard.pdf • p.8: “identity… disabled, deleted… when… no longer… business requirement”</t>
  </si>
  <si>
    <t>The current language clearly establishes that inactive or unnecessary accounts should not remain active indefinitely. It is a meaningful control, but does not distinguish by account type, define reactivation controls, or require reporting and orphaned account review.</t>
  </si>
  <si>
    <t>Gold-Standard: 1. Define inactivity thresholds by account class.  2. Require reactivation approval and stale/orphan account review.  
Suggested Update: “Inactive accounts shall be disabled based on approved thresholds by account type, and reactivation shall require documented approval and validation of continued business need.”</t>
  </si>
  <si>
    <t>Technology/Process</t>
  </si>
  <si>
    <t>Name</t>
  </si>
  <si>
    <t>Direct Citation(s)</t>
  </si>
  <si>
    <t>Next-Generation Firewall (NGFW)</t>
  </si>
  <si>
    <t>Inspects and controls network traffic based on application, user, and content context, going beyond traditional port and protocol filtering to block modern threats.</t>
  </si>
  <si>
    <t>Network perimeter boundaries across on-prem and cloud environments</t>
  </si>
  <si>
    <t>Standalone Network Policy (Net-New Document)
NGFW: The organization shall use approved Next-Generation Firewall capabilities to inspect, control, and log network traffic based on application, user, content, and risk, with rules aligned to least privilege, threat prevention requirements, and formally approved network security policies.
NAC: The organization shall use approved Network Access Control capabilities to authenticate and validate users and devices before granting network access, enforcing posture, compliance, and authorization requirements for corporate, guest, contractor, and unmanaged endpoints.
VPN: The organization shall use approved Virtual Private Network services to secure remote connectivity to internal network resources, requiring encrypted sessions, strong authentication, and policy-based access restrictions for users, administrators, and third parties.
Network Segmentation &amp; Zoning: The organization shall use approved segmentation and zoning controls to separate networks, systems, and data based on business function, sensitivity, and risk, restricting east-west and north-south traffic to only authorized communications through defined trust boundaries and monitored control points.</t>
  </si>
  <si>
    <t>d</t>
  </si>
  <si>
    <t>Secure Web Gateway</t>
  </si>
  <si>
    <t>A security solution that monitors, filters, and controls user web traffic to block malicious sites, enforce acceptable use policies, and prevent data loss</t>
  </si>
  <si>
    <t>ZIA</t>
  </si>
  <si>
    <t>Network Access Control (NAC)</t>
  </si>
  <si>
    <t>Enforces device compliance and identity checks before granting network access, preventing unmanaged or non-compliant devices from connecting to corporate infrastructure.</t>
  </si>
  <si>
    <t>All devices attempting to connect to the corporate network, including employee, contractor, and guest devices</t>
  </si>
  <si>
    <t>Virtual Private Network (VPN)</t>
  </si>
  <si>
    <t>Provides an encrypted tunnel for users accessing corporate systems remotely, ensuring traffic is protected from interception over untrusted networks.</t>
  </si>
  <si>
    <t>All remote users and third parties requiring access to internal corporate systems and resources</t>
  </si>
  <si>
    <t>Third Party Security Standard.pdf • p.10: “Remote logins… routed through… VPN tunnels… hardened… jump server/bastion host… MFA”</t>
  </si>
  <si>
    <t>The current language is relatively strong and specific: remote administrative access must use secured connectivity paths such as VPN and hardened bastion patterns with MFA. It does not yet define when VPN is preferred versus ZTNA or what device compliance requirements apply.</t>
  </si>
  <si>
    <t xml:space="preserve">Network Segmentation &amp; Zoning </t>
  </si>
  <si>
    <t>Defines how the network is divided into zones (e.g. DMZ, corporate, guest) to limit lateral movement and contain the impact of a breach within a segment.</t>
  </si>
  <si>
    <t>All network infrastructure across on-prem, cloud, and hybrid environments including OT and guest networks. Review annually or following significant network changes.</t>
  </si>
  <si>
    <t>Third Party Security Standard.pdf • p.10: “security zones… segmenting… logical groupings… flows… approved… monitored… reviewed”</t>
  </si>
  <si>
    <t>The current language clearly requires systems to be divided into security zones and requires flows between them to be approved, monitored, and reviewed. It is a strong direct statement of intent, but does not define a minimum segmentation model or explicitly require default-deny between zones.</t>
  </si>
  <si>
    <t>Firewall Rule review &amp; Change Management</t>
  </si>
  <si>
    <t>Periodically audits existing firewall rules to remove redundant or overly permissive entries, and governs how new rules are requested, approved, and implemented.</t>
  </si>
  <si>
    <t>All firewall rule sets across perimeter, internal, and cloud-based firewalls. Quarterly rule review; change management applied continuously.</t>
  </si>
  <si>
    <t>Third Party Security Standard.pdf • p.11: “Firewall rule review process… documented and regularly triggered… update/remove rules…”</t>
  </si>
  <si>
    <t>The current language makes clear that firewall rules must be actively reviewed and maintained rather than left in place indefinitely. It is an important lifecycle control, but does not define review frequency, required rule metadata, ownership, or stale-rule cleanup detail.</t>
  </si>
  <si>
    <t>Gold-Standard:  1. Require each rule to have a documented owner and business justification. 2. Require review cadence plus expiration or recertification.
Suggested Update: Shouldn't only be an excerpt in the Third Party standard, but in a central Network Standard document.
- “All firewall rules shall have a documented owner, business justification, review cycle, and expiration or recertification requirement.”</t>
  </si>
  <si>
    <t xml:space="preserve">
</t>
  </si>
  <si>
    <t>Wifi Hardening Baseline</t>
  </si>
  <si>
    <t>Encryption, strong password, guest wifi separate from corporate</t>
  </si>
  <si>
    <t>Remote Access Policy</t>
  </si>
  <si>
    <t>Defines the standards and requirements for users connecting to corporate systems from outside the network, including VPN usage, device compliance, and authentication requirements.</t>
  </si>
  <si>
    <t>All employees, contractors, and third parties accessing corporate systems remotely. Review annually or when remote working practices change significantly.</t>
  </si>
  <si>
    <t>Identity and Access Management Standard.pdf • p9: “establish and document allowed methods of remote access… usage restrictions… monitor… unauthorized remote access.”
Third Party Security Standard.pdf • p.8: “Non‑McDonald’s devices… only through approved remote access gateways”</t>
  </si>
  <si>
    <t>The current language establishes that remote access methods must be documented, restricted, and monitored, and limits access from unmanaged devices to approved gateways. It is a sound framework, but should become more explicit around posture checks, timeouts, prohibited tools, and vendor access handling.</t>
  </si>
  <si>
    <t>Gold-Standard: 1. Define approved remote access methods and require MFA.  2. Require compliant device posture and centralized monitoring.  
Suggested Update: Shouldn't only be an excerpt in the IAM and Third Party standards, but in a central Network Standard document.
“Remote access shall occur only through approved enterprise services and shall require MFA, compliant device posture, session controls, and centralized monitoring.”</t>
  </si>
  <si>
    <t>DNS Security &amp; Filtering</t>
  </si>
  <si>
    <t>Controls and monitors DNS queries to block access to malicious or unauthorized domains and detect potential command-and-control activity.</t>
  </si>
  <si>
    <t>All users and devices generating DNS traffic across corporate and remote networks. Continuously enforced; policy reviewed quarterly.</t>
  </si>
  <si>
    <t>Logging and Continuous Monitoring Standard • p.5 • 5.1.7: “Domain Name System (DNS) query logging shall be enabled to detect hostname lookups for known malicious domains”</t>
  </si>
  <si>
    <t>The current language establishes DNS query logging as a detection mechanism for malicious lookups. It is a useful starting point, but is primarily detective and does not define DNS blocking, resolver control, or response workflows.</t>
  </si>
  <si>
    <t>Gold-Standard: 1. Require DNS logging and blocking for known malicious domains.  2. Define alerting and response expectations for suspicious DNS activity.  
Suggested Update: “DNS security controls shall log, monitor, and block requests to known malicious domains and generate alerts for suspicious query activity.”</t>
  </si>
  <si>
    <t>Content Updates</t>
  </si>
  <si>
    <t>Regular updates to threat signatures, detection rules, and policy content to keep security tools current against emerging threats</t>
  </si>
  <si>
    <t>Basic Segmentation Standards &amp; Implementation</t>
  </si>
  <si>
    <t>Defines the minimum segmentation baseline (required zones, permitted traffic between zones, and default-deny principles) and the operating process to implement/maintain it (documented standards, approvals, exceptions, periodic validation).</t>
  </si>
  <si>
    <t>All on‑prem, cloud, and hybrid networks; applies to corporate, guest, OT, and management networks. Review annually and after significant network or application changes.</t>
  </si>
  <si>
    <t>Item</t>
  </si>
  <si>
    <t>Cloud Security Posture Management (CSPM)</t>
  </si>
  <si>
    <t>Continuously monitors cloud environments for misconfigurations, compliance violations, and security risks across cloud services and accounts.</t>
  </si>
  <si>
    <t>All cloud accounts and services across AWS, Azure, GCP, or equivalent platforms used by the organization</t>
  </si>
  <si>
    <t>Standalone Cloud Policy (Net-New Document)
CSPM: The organization shall use approved Cloud Security Posture Management capabilities to continuously monitor cloud environments for misconfigurations, policy violations, excessive permissions, and compliance gaps, and to support timely remediation through defined ownership, risk-based prioritization, and governance processes.</t>
  </si>
  <si>
    <t>Cloud Security Baseline &amp; Hardening Standards</t>
  </si>
  <si>
    <t>Defines the minimum security configuration requirements for cloud environments, ensuring services, storage, and compute resources are deployed securely by default.</t>
  </si>
  <si>
    <t>All cloud accounts, services, and resources provisioned across the organization's cloud platforms. Review annually; validate compliance quarterly.</t>
  </si>
  <si>
    <t>Cloud Asset Inventory &amp; Lifecycle Management</t>
  </si>
  <si>
    <t>Maintains an up-to-date register of all cloud assets including VMs, storage, and services, ensuring unused or shadow resources are identified and decommissioned.</t>
  </si>
  <si>
    <t>All cloud resources across every account and region used by the organization. Continuously maintained; full audit quarterly.</t>
  </si>
  <si>
    <t>Cloud Access &amp; Privileged Role Management</t>
  </si>
  <si>
    <t>Governs who holds elevated roles in cloud platforms, ensuring access is least privilege, reviewed regularly, and aligned to job function.</t>
  </si>
  <si>
    <t>All users and service accounts holding elevated or administrative roles across cloud platforms. Quarterly access review.</t>
  </si>
  <si>
    <t>Policy Link</t>
  </si>
  <si>
    <t>Policy Evaluation</t>
  </si>
  <si>
    <t>Email Security Gateway</t>
  </si>
  <si>
    <t>Filters inbound and outbound email to detect and block phishing, malware, spam, and business email compromise attempts before they reach user inboxes.</t>
  </si>
  <si>
    <t>Proofpoint</t>
  </si>
  <si>
    <t>All users with a corporate email account across the organization</t>
  </si>
  <si>
    <t>Records Management Policy
- p.3 “2.0 Scope” (includes “e-mail” as record medium).</t>
  </si>
  <si>
    <t>Establish and document SEG requirements (anti-phish, sandboxing, URL rewrite, DMARC posture).</t>
  </si>
  <si>
    <t>Phishing Simulation &amp; User Awareness Training</t>
  </si>
  <si>
    <t>Runs regular simulated phishing campaigns to test user susceptibility and delivers targeted training to reduce the risk of credential theft and social engineering attacks.</t>
  </si>
  <si>
    <t>All staff across the organization, with targeted follow-up training for users who fail simulations. Simulations monthly or quarterly; mandatory training at least annually.</t>
  </si>
  <si>
    <t>Acceptable Use Policy.pdf
- p.5 L1–L2 (“Report Phish button…”).
Cloud &amp; Hosting Security Standard
- p15 (annual training/awareness referenced).
Security Awareness and Training Standard.pdf 
- p.4 (phishing awareness).</t>
  </si>
  <si>
    <t>Distinguish “awareness training” vs “simulation program.”
Establish and understand click/report rates, repeat-failure rate, and completion SLAs.</t>
  </si>
  <si>
    <t>M365 Tenant Hardening &amp; Configuration Baseline</t>
  </si>
  <si>
    <t>Defines and enforces a secure configuration standard for the M365 tenant, covering settings across Exchange, Teams, SharePoint, and other services to reduce the attack surface.</t>
  </si>
  <si>
    <t>All M365 services and configurations within the organization's tenant. Review and validate configuration baseline quarterly.</t>
  </si>
  <si>
    <t>Define baseline controls in a clear, central location.</t>
  </si>
  <si>
    <t>Productivity Suites Security Review</t>
  </si>
  <si>
    <t>Reviews security configurations, access controls, data sharing settings, and user permissions across collaboration and productivity platforms to identify misconfigurations, overprivileged accounts, and data exposure risks.</t>
  </si>
  <si>
    <t>All productivity suite platforms (M365, Sharepoint, Google Workspace, etc.) across the organization. Full assessment annually; targeted configuration reviews quarterly.</t>
  </si>
  <si>
    <t>Phishing campaign</t>
  </si>
  <si>
    <t xml:space="preserve">AI </t>
  </si>
  <si>
    <t>AI Tool &amp; Usage Review</t>
  </si>
  <si>
    <t>Understanding whether the organization utilizes AI, including which tools have been formally sanctioned for use and who has been granted access to them.</t>
  </si>
  <si>
    <t>All approved and sanctioned AI tools across the organization. Semi-annually.</t>
  </si>
  <si>
    <t>Artificial Intelligence Policy.pdf
-  “ONLY use AI tooling… approved by the RAI Team…”; “Approved AI Tooling…”.</t>
  </si>
  <si>
    <t>Define a cadence to review AI tools and their applicability on a bi-annual basis.</t>
  </si>
  <si>
    <t>Dynamic Application Security Testing (DAST)</t>
  </si>
  <si>
    <t>Tests running applications for vulnerabilities by simulating real-world attacks, identifying issues such as injection flaws, authentication weaknesses, and misconfigurations at runtime.</t>
  </si>
  <si>
    <t>Stackhawk</t>
  </si>
  <si>
    <t>All internet-facing and internally hosted web applications and APIs across the organization</t>
  </si>
  <si>
    <t>Third Party Security Standard.pdf
- p.24 (“security testing… including… (SAST/DAST)”).</t>
  </si>
  <si>
    <t>Make gating criteria and scope explicit.
Define and outlint DAST coverage.</t>
  </si>
  <si>
    <t>Static Application Security Testing (SAST)</t>
  </si>
  <si>
    <t>Analyses application source code, bytecode, or binaries for security vulnerabilities before deployment, enabling developers to identify and fix issues early in the development lifecycle.</t>
  </si>
  <si>
    <t>Snyk</t>
  </si>
  <si>
    <t>All internally developed applications and codebases across the software development lifecycle</t>
  </si>
  <si>
    <t>Secure SDLC Standard.pdf 
- (“Static and dynamic analysis tools…”).</t>
  </si>
  <si>
    <t>Define where SAST must run (CI/CD) and thresholds.</t>
  </si>
  <si>
    <t>EWAAP</t>
  </si>
  <si>
    <t>Filters and monitors HTTP traffic to and from web applications, protecting against common attacks such as SQL injection, cross-site scripting, and application-layer DDoS.</t>
  </si>
  <si>
    <t>All internet-facing web applications and APIs hosted on-prem or in the cloud</t>
  </si>
  <si>
    <t>Secure SDLC Standard.pdf
- (“Web applications… protected by… WAFs…”).
Network Security Standard.pdf
- p.12 definition “Web Application Filtering”.</t>
  </si>
  <si>
    <t>Clarify WAF vs generic “filtering/IAP.”</t>
  </si>
  <si>
    <t>Application Inventory &amp; Classification</t>
  </si>
  <si>
    <t>Maintains a complete and up-to-date register of all applications in use across the organization, classified by criticality, data sensitivity, and ownership.</t>
  </si>
  <si>
    <t>All applications in use across the organization including sanctioned, legacy, and shadow IT. Continuously maintained; full audit semi-annually.</t>
  </si>
  <si>
    <t>Application Lifecycle Management</t>
  </si>
  <si>
    <t>Governs how applications are requested, approved, deployed, maintained, and decommissioned, ensuring unsupported or redundant applications are identified and retired.</t>
  </si>
  <si>
    <t>All applications across the organization from initial procurement or development through to decommission. Review unsupported or end-of-life applications quarterly.</t>
  </si>
  <si>
    <t>Secure Software Development Lifecycle (SSDLC)</t>
  </si>
  <si>
    <t>Embeds security practices into each stage of the software development process, from design through to deployment, to reduce vulnerabilities being introduced into applications.</t>
  </si>
  <si>
    <t>All internally developed or customized applications and software projects across the organization. Applied continuously throughout the development lifecycle.</t>
  </si>
  <si>
    <t>Penetration Testing</t>
  </si>
  <si>
    <t>Conducts regular simulated attacks against applications to identify exploitable vulnerabilities that automated scanning may miss, providing a real-world assessment of security posture.</t>
  </si>
  <si>
    <t>All critical and internet-facing applications. At least annually; after significant changes or new application releases.</t>
  </si>
  <si>
    <t>Endpoint Detection &amp; Response (EDR)</t>
  </si>
  <si>
    <t>Monitors endpoints in real time for malicious behavior, detects and responds to threats, and provides forensic investigation capabilities post-incident.</t>
  </si>
  <si>
    <t>SentinelOne</t>
  </si>
  <si>
    <t>All corporate-managed endpoints including laptops, desktops, and servers across the organization</t>
  </si>
  <si>
    <t>Endpoint Protection Standard.pdf
- p6 (L1): “Endpoint protection solutions (including Endpoint Detection and Response (EDR)) shall be deployed and regularly updated…”</t>
  </si>
  <si>
    <t>Define minimum telemetry and SOC integration.</t>
  </si>
  <si>
    <t>Mobile Device Management (MDM)</t>
  </si>
  <si>
    <t>Enforces security policies, manages configurations, and enables remote wipe across mobile and desktop devices to ensure corporate data remains protected on all endpoints.</t>
  </si>
  <si>
    <t>Intune
AU: Moving to Intune</t>
  </si>
  <si>
    <t>All corporate-owned and BYOD devices accessing corporate systems, email, or data</t>
  </si>
  <si>
    <t>Vulnerability Management &amp; Patching</t>
  </si>
  <si>
    <t>Systematically discovers, prioritizes, and remediates vulnerabilities and missing patches across the endpoint estate within defined SLAs based on severity and exposure.</t>
  </si>
  <si>
    <t>Tenable/Tanium</t>
  </si>
  <si>
    <t>All managed endpoints and servers across the organization including remote and off-network devices</t>
  </si>
  <si>
    <t>Endpoint Hardening &amp; Configuration Baseline</t>
  </si>
  <si>
    <t>Defines and enforces a secure configuration standard for all endpoints, covering settings such as local admin removal, disk encryption, screen lock, and disabling unnecessary services.</t>
  </si>
  <si>
    <t>All corporate-managed endpoints from the point of provisioning through the device lifecycle. Baseline reviewed annually; compliance validated continuously via MDM.</t>
  </si>
  <si>
    <t>Removable Media Controls</t>
  </si>
  <si>
    <t>Defines and enforces policies around the use of USB drives and other removable media, restricting or blocking usage where it poses a data loss or malware introduction risk.</t>
  </si>
  <si>
    <t>All corporate endpoints and users who may connect removable media devices to corporate hardware. Policy reviewed annually; controls enforced continuously.</t>
  </si>
  <si>
    <t>Endpoint Compliance &amp; Health Monitoring</t>
  </si>
  <si>
    <t>Continuously assesses whether endpoints meet the organization's security baseline, flagging and remediating non-compliant or unhealthy devices before they pose a risk.</t>
  </si>
  <si>
    <t>All managed endpoints across the organization, with particular focus on remote and high-risk devices. Compliance reports reviewed weekly or monthly.</t>
  </si>
  <si>
    <t>Endpoint Asset Inventory &amp; Lifecycle Management</t>
  </si>
  <si>
    <t>Maintains a complete register of all endpoints across the organization, ensuring every device is accounted for from procurement through to secure decommissioning, including unmanaged and unknown devices.</t>
  </si>
  <si>
    <t>All endpoints across the organization including managed, unmanaged, and third-party devices connecting to corporate resources. Full audit quarterly.</t>
  </si>
  <si>
    <t>Incident Response Plan &amp; Playbooks</t>
  </si>
  <si>
    <t>Defines the end-to-end process for detecting, containing, eradicating, and recovering from security incidents, including specific playbooks for common scenarios such as ransomware, phishing, and data breach with regulatory notification obligations.</t>
  </si>
  <si>
    <t>All security incidents across the organization, including those involving personal or sensitive data subject to regulatory reporting. Plan reviewed annually; tabletop exercises at least annually.</t>
  </si>
  <si>
    <t>Business Continuity and Technology Resiliency Standard.pdf
- p.8 L1–L2 (IR plans tested).
Network Security Standard.pdf
p.10 5.9.1 (incident reporting).
Third Party Security Standard.pdf
- p.21 (incident response plans/capabilities via exercises—per summary).</t>
  </si>
  <si>
    <t>List required incident response playbooks with direct, easy-to-understand terminology.
Define a time-to-contain SLA.</t>
  </si>
  <si>
    <t>Logs Ingested into Global SOC</t>
  </si>
  <si>
    <t>Identifying all log sources and then connecting to the corporate SOC by onboarding each source through approved collectors/connectors.</t>
  </si>
  <si>
    <t>Glonbal SOC - Chronicle</t>
  </si>
  <si>
    <t>All systems, applications, network devices, and cloud services generating security-relevant log data across the organization. Continuously collected; retention policy reviewed annually.</t>
  </si>
  <si>
    <t>Third Party Security Standard.pdf
- p.14 (“Logs… ingested by… SIEM… for correlation”).
Third Party Security Standard.pdf
- p.7 (“Integrate logs with SIEM”).
Logging and Continuous Monitoring Standard
- p.6 5.3.2 (review aggregated logs in coordination with GSOC).</t>
  </si>
  <si>
    <t>Specify log sources, retention, and alert SLAs explicitly.</t>
  </si>
  <si>
    <t>Lifecycle Management</t>
  </si>
  <si>
    <t>End‑to‑end process of onboarding vendors with due diligence, assessing and tiering them by inherent risk, continuously monitoring performance, security, compliance, and issues, and offboarding by terminating access &amp; validating data return/destruction, and finally - capturing lessons learned.</t>
  </si>
  <si>
    <t>All third-party vendors and suppliers prior, during and after being granted access to corporate systems, data, or infrastructure - with re-assessments likely for high-risk vendors.</t>
  </si>
  <si>
    <t>Acceptable Use Policy.pdf
- p.10 L1–L3 (return assets at relationship end).
Identity and Access Management Standard.pdf
- p9 (third-party accounts disabled when no longer needed).
Third Party Security Policy.pdf
- (lifecycle sections; “Return, destroy, or irreversibly dispose…”—per summary).
Network Security Standard
- p.4 5.1.3 (follow Third-Party Security Policy).</t>
  </si>
  <si>
    <t>Explicitly define TP/Supplier lifecycle and tiering system - with actionable steps required at each phase.</t>
  </si>
  <si>
    <t>Contractual Security Requirements</t>
  </si>
  <si>
    <t>Ensures that security obligations, data handling standards, breach notification requirements, and audit rights are embedded into all third party contracts and agreements.</t>
  </si>
  <si>
    <t>All contracts and agreements with third parties who handle, process, or have access to corporate or customer data. Applied at contract creation and renewal; reviewed annually.</t>
  </si>
  <si>
    <t>Third Party Security Standard.pdf
- p.27 (“Include contractual flow-down clauses…”).
Third Party Security Standard.pdf
- p.31 (contract compliance expectations).
Encryption and Key Management Standard.pdf 
- p9 (L1) (“contractual enforcement of encryption obligations by the third party.”).</t>
  </si>
  <si>
    <t>Provide owners for contrcactual enforcement.
Create a contract clause checklist and a standardized vendor breach notice.</t>
  </si>
  <si>
    <t>High-Level Questions</t>
  </si>
  <si>
    <t>Data Discovery &amp; Inventory</t>
  </si>
  <si>
    <t>Used for discovering sensitive data in the environment and inventory the data, includes both unstructured and structured data.</t>
  </si>
  <si>
    <t>Collibra, BigID</t>
  </si>
  <si>
    <t>Cloud, SaaS, and on-prem environments where sensitive or regulated data may reside</t>
  </si>
  <si>
    <t>What mechanisms are used to discover structured and unstructured data across on-prem, cloud, SaaS, and endpoint environments?
How complete and current is the enterprise data inventory, and which data stores are out of scope or not yet covered?
How are data owners, custodians, business purpose, and system-of-record attributes captured and maintained?
How is discovery performed continuously versus one-time, and how are new data sources onboarded into inventory processes?</t>
  </si>
  <si>
    <t>Data Classification</t>
  </si>
  <si>
    <t>Classify disovered sensitive data into varios classification scheme (e.g., Highly Sensitive, Confidential, Internal, Public) and apply appropriate controls based on classification.</t>
  </si>
  <si>
    <t>M365 Purview</t>
  </si>
  <si>
    <t>Corporate Users</t>
  </si>
  <si>
    <t>What classification schema is in place, and does it align to regulatory, business, and contractual requirements?
How is data classified in practice: manually, automatically, or through a hybrid approach?
What percentage of critical data stores and files are classified, and how is classification accuracy validated?
How is classification metadata used downstream in controls such as DLP, encryption, retention, and access management?</t>
  </si>
  <si>
    <t>Data Segmentation, Transfer &amp; Localization</t>
  </si>
  <si>
    <t>Segments, transfer and localizes sensitive data based on data regulations and data retention policies to minimize exposure of sensitive data.</t>
  </si>
  <si>
    <t>How is sensitive data segmented by business unit, geography, environment, or trust zone to reduce unnecessary exposure?
What controls govern data movement between applications, environments, third parties, and cross-border locations?
How does the organization identify and enforce data residency, sovereignty, and localization requirements?
Where does sensitive data move today, and how well is that movement monitored, approved, and documented?</t>
  </si>
  <si>
    <t>Separate MCD vs Corp data segmentation or how we sucurely tie back it</t>
  </si>
  <si>
    <t>Data Loss Prevention (DLP)</t>
  </si>
  <si>
    <t>Monitors and blocks unauthorized transfer or exfiltration of sensitive data across endpoints, email, and cloud services.</t>
  </si>
  <si>
    <t>Corporate users who handle, send, or store sensitive data via email, endpoint, or cloud platforms</t>
  </si>
  <si>
    <t>What DLP capabilities are deployed across email, endpoints, web, cloud storage, SaaS, and network channels?
How are DLP policies aligned to the organization’s most important data types, business processes, and risk scenarios?
What is the current coverage of DLP controls, and where are major blind spots or unenforced channels?
How are DLP incidents investigated, tuned, and measured to balance risk reduction with business usability?</t>
  </si>
  <si>
    <t>What tool is being used and enforcement actions</t>
  </si>
  <si>
    <t>Data Classification Management</t>
  </si>
  <si>
    <t>Defines sensitivity tiers, ownership responsibilities, and handling requirements for data across its lifecycle.</t>
  </si>
  <si>
    <t>All staff who create, store, or handle data across any system or format. Review annually.</t>
  </si>
  <si>
    <t>Asset Standard.pdf
- p.5 L1–L2 (“assets… shall be classified and labeled…”).
Third Party Security Standard.pdf
- p.11 (“Implement a formal data classification process…”).</t>
  </si>
  <si>
    <t>Put a single handling matrix in one authoritative place.
Determine mechanism to automatically assess and label data.</t>
  </si>
  <si>
    <t>Data Retention &amp; Disposal</t>
  </si>
  <si>
    <t>Establishes defined retention periods and secure disposal methods aligned to regulatory requirements and business need.</t>
  </si>
  <si>
    <t>All systems, storage media, and data types subject to regulatory or business retention obligations. Review annually; disposal activities ongoing per retention schedule.</t>
  </si>
  <si>
    <t xml:space="preserve">
Third Party Security Standard.pdf
- p.12 (“Records Retention Schedules…”; delete/dispose after expiry).
Asset Standard.pdf
- p.3 • L1–L3 (“lifecycle controls (including data retention requirements)”).</t>
  </si>
  <si>
    <t>Clarify owners, schedules, and legal hold steps.</t>
  </si>
  <si>
    <t>Backup Testing &amp; Recovery Drills</t>
  </si>
  <si>
    <t>Regularly validates backup integrity and practices restoration procedures to confirm recoverability within agreed RTO/RPO targets.</t>
  </si>
  <si>
    <t>All critical systems and data sets subject to backup and recovery requirements. Test quarterly; full recovery drill at least annually.</t>
  </si>
  <si>
    <t>Business Continuity and Technology Resiliency Standard.pdf
- p.8 L1–L2 (test integrity; perform restoration).
Cloud &amp; Hosting Security Standard
- p15 (“Backup and recovery measures shall be tested quarterly”).</t>
  </si>
  <si>
    <t>Specify measurable RTO/RPO and success criteria.</t>
  </si>
  <si>
    <t>Encryption (At Rest &amp; In Transit)</t>
  </si>
  <si>
    <t>Defines and enforces encryption standards (AES-256, TLS 1.2+) across all data stores and transfer channels as a baseline security control.</t>
  </si>
  <si>
    <t>All databases, file storage, and data transfer channels handling sensitive or regulated information. Review annually or when new systems are introduced.</t>
  </si>
  <si>
    <t>Acceptable Use Policy.pdf
- p.5 • L1–L3 (“emailed outside… appropriate encryption.”).
Data Classification &amp; Handling Standard.pdf 
- (encrypt at-rest and in-transit; AES-256/TLS 1.2+ referenced)</t>
  </si>
  <si>
    <t>Separate “email auth” vs “data encryption” terminology.
Establish mandatory encryption locations.</t>
  </si>
  <si>
    <t>Policy Language Analysis</t>
  </si>
  <si>
    <t>Bucket 1</t>
  </si>
  <si>
    <t>Bucket 2</t>
  </si>
  <si>
    <t>Bucket 3</t>
  </si>
  <si>
    <t>Bucket 4</t>
  </si>
  <si>
    <t>Bucket 5</t>
  </si>
  <si>
    <t>Acceptable Use</t>
  </si>
  <si>
    <t>Change Mgmt</t>
  </si>
  <si>
    <t>Encryption</t>
  </si>
  <si>
    <t>Logging</t>
  </si>
  <si>
    <t>Secure SDLC</t>
  </si>
  <si>
    <t>Cloud &amp; Hosting</t>
  </si>
  <si>
    <t>Global Personal</t>
  </si>
  <si>
    <t>Security Awareness</t>
  </si>
  <si>
    <t>Data Center and IT Physical Sec</t>
  </si>
  <si>
    <t>Identity</t>
  </si>
  <si>
    <t>Network Security St</t>
  </si>
  <si>
    <t>Third Party Sec Pol</t>
  </si>
  <si>
    <t>Asset Class</t>
  </si>
  <si>
    <t>Data Class</t>
  </si>
  <si>
    <t>Incident</t>
  </si>
  <si>
    <t>Open Source</t>
  </si>
  <si>
    <t>Third Party Sec Standard</t>
  </si>
  <si>
    <t>Business Continuity</t>
  </si>
  <si>
    <t>Data Gov Policy</t>
  </si>
  <si>
    <t>Infosec</t>
  </si>
  <si>
    <t>Records Mgmt</t>
  </si>
  <si>
    <t>Vulnerability</t>
  </si>
  <si>
    <t>Mega citations crosswalk + clarity/safety suggestions (Analyses 1–5)</t>
  </si>
  <si>
    <t>Domain</t>
  </si>
  <si>
    <t>Concept</t>
  </si>
  <si>
    <t>Direct citations</t>
  </si>
  <si>
    <t>Related citations (close/partial)</t>
  </si>
  <si>
    <t>Indirect citations (enablers/adjacent)</t>
  </si>
  <si>
    <t>Policy clarity improvements (wording)</t>
  </si>
  <si>
    <t>Safer-posture requirements (testable controls)</t>
  </si>
  <si>
    <t>Evidence / metrics to require</t>
  </si>
  <si>
    <t>Identity and Access Management Standard.pdf • p5 (L1): “Authentication shall occur against the central system (Global Active Directory).”</t>
  </si>
  <si>
    <t>Logging and Continuous Monitoring Standard • p.8 • “6.0 Required Security Infrastructure Services” (Global Authentication Service / Global AS; GIA Platform).&lt;br&gt;Network Security Standard • p.10 • “6.0 Required Security Infrastructure Services” (Global Authentication Service / Global AS; GIA Platform).</t>
  </si>
  <si>
    <t>Define “IdP” explicitly; name authoritative IdP(s); state when exceptions apply.</t>
  </si>
  <si>
    <t>Centralized federation required for enterprise apps; prohibit local auth where feasible; define break-glass and outage behavior.</t>
  </si>
  <si>
    <t>IdP integration inventory; % apps federated; IdP auth/admin logs retained; break-glass drills and access reviews.</t>
  </si>
  <si>
    <t>Identity and Access Management Standard.pdf • p7: “5.9 Privileged Access Management” + p7 (L1–L2) (“Allocation and use…” excerpt).&lt;br&gt;Third Party Security Standard.pdf • p.6 (“centralized Privileged Access Management (PAM) solution…”).</t>
  </si>
  <si>
    <t>Network Security Standard • p.12 • definition “Privileged Access Path … including PAM platforms …”.&lt;br&gt;Logging and Continuous Monitoring Standard • p.5 • 5.1.6 (“All privileged and administrative activity shall be logged”).&lt;br&gt;Business Continuity and Technology Resiliency Standard.pdf • p.11 • L1–L3 (“Privileged Access…” excerpt).&lt;br&gt;Change Management Standard • p8 (“Privileged Access” definition excerpt).</t>
  </si>
  <si>
    <t>Use “shall” language for vaulting/JIT/session recording; define “privileged” and “admin access path.”</t>
  </si>
  <si>
    <t>Approved PAM tooling; vault + rotation SLAs; JIT/JEA elevation; session recording; break-glass controls; ticket/change linkage.</t>
  </si>
  <si>
    <t>% privileged accounts under PAM; session recording coverage; secret rotation compliance; privileged elevation duration; quarterly control tests.</t>
  </si>
  <si>
    <t>Identity and Access Management Standard.pdf • p4 (“integrated with… GIA Platform for provisioning or de-provisioning”); p7 (“formal access provisioning process…”).&lt;br&gt;Third Party Security Standard.pdf • p.6 (“documented Identity Governance Framework… identity provisioning… periodic access recertification”; “Deploy solutions (e.g., SailPoint…)”).</t>
  </si>
  <si>
    <t>Cloud &amp; Hosting Security Standard • p7 (“Access…revalidated for entitlement appropriateness”).</t>
  </si>
  <si>
    <t>Logging and Continuous Monitoring Standard • p.6 • 5.2.1 (least privilege / SoD language for log access).</t>
  </si>
  <si>
    <t>Define “authoritative source,” “certification,” and recert scope in one place.</t>
  </si>
  <si>
    <t>HRIS-driven JML; automated provisioning/deprovisioning; SoD rules; standardized approval workflow; evidence retention.</t>
  </si>
  <si>
    <t>Cert completion SLA; orphan account rate; time-to-deprovision; % apps in IGA; audit evidence retention period.</t>
  </si>
  <si>
    <t>Identity and Access Management Standard.pdf • p5 (“Multi-factor authentication shall be enforced.”); p9 (Remote Access: “Strong authentication… to include… MFA…”).&lt;br&gt;Cloud &amp; Hosting Security Standard • p7 (“Multi-factor authentication (MFA) shall be used…”).&lt;br&gt;Third Party Security Standard.pdf • p.7 (“MFA… required for all access”).</t>
  </si>
  <si>
    <t>Cloud &amp; Hosting Security Standard • p12 (“two-factor authentication”).</t>
  </si>
  <si>
    <t>Logging and Continuous Monitoring Standard • p.8 • “6.0 Required Security Infrastructure Services” (Global Authentication Service / Global AS).</t>
  </si>
  <si>
    <t>Define MFA strength (phishing-resistant vs not) and where it must be enforced.</t>
  </si>
  <si>
    <t>Require phishing-resistant MFA for privileged/remote/high-risk; define allowed factors; conditional access baselines; exception handling.</t>
  </si>
  <si>
    <t>MFA adoption by role/app; privileged MFA compliance; exception counts/age; failed MFA attempts monitored.</t>
  </si>
  <si>
    <t>Identity and Access Management Standard.pdf • p5 (“MFA must be configured to all single sign on integrated applications…”).&lt;br&gt;Third Party Security Standard.pdf • p.8 (same quote).</t>
  </si>
  <si>
    <t>Logging and Continuous Monitoring Standard • p.8 • “6.0 Required Security Infrastructure Services” (GIA Platform).&lt;br&gt;Network Security Standard • p.10 • “6.0 Required Security Infrastructure Services” (GIA Platform).</t>
  </si>
  <si>
    <t>State which app tiers “must” use SSO; define when local creds are allowed.</t>
  </si>
  <si>
    <t>Mandatory SSO for enterprise/SaaS/cloud consoles; ban local accounts where feasible; define token/session requirements.</t>
  </si>
  <si>
    <t>% apps SSO-integrated; local account exceptions; session lifetime standards; SSO logging retention.</t>
  </si>
  <si>
    <t>Joiner, Mover, Leaver (JML)</t>
  </si>
  <si>
    <t>Identity and Access Management Standard.pdf • p7 (“…join… move… change roles… or leave…”).&lt;br&gt;Third Party Security Standard.pdf • p.7 (“immediate deactivation… upon termination or job role changes”); p.8 (“Track and document all access changes… automated workflows”).</t>
  </si>
  <si>
    <t>Logging and Continuous Monitoring Standard • p.8 • 5.4.6 (“Attempts to access deactivated accounts shall be monitored”).&lt;br&gt;Cloud &amp; Hosting Security Standard • p6 (termination/return/sanitize/dispose language referenced under JML).</t>
  </si>
  <si>
    <t>Replace vague timelines with SLAs by risk tier; define triggers (HR feed, vendor offboarding).</t>
  </si>
  <si>
    <t>Automated JML; same-day disable for privileged; mover recert triggers; rehire/reactivation controls.</t>
  </si>
  <si>
    <t>Time-to-disable; time-to-provision; % automated vs manual; deactivated account access attempts; reconciliation exceptions.</t>
  </si>
  <si>
    <t>Identity and Access Management Standard.pdf • p7 (“reviewed… at least semi-annually…”).&lt;br&gt;Third Party Security Standard.pdf • p.6 (“…reviewed, and revalidated… at least semi-annually…”).&lt;br&gt;Cloud &amp; Hosting Security Standard • p7 (“Access shall be reviewed…on an annual basis.”).</t>
  </si>
  <si>
    <t>Logging and Continuous Monitoring Standard • p.5 • 5.1.6 (privileged/admin activity logged).</t>
  </si>
  <si>
    <t>Distinguish privileged vs standard access review requirements and evidence expectations.</t>
  </si>
  <si>
    <t>Privileged reviews more frequent than annual; define scope (roles/groups/service accounts); remediation timelines; escalation rules.</t>
  </si>
  <si>
    <t>Review completion rate; days-to-remediate; non-response escalations; privileged inventory accuracy.</t>
  </si>
  <si>
    <t>Password &amp; Authentication Policy</t>
  </si>
  <si>
    <t>Identity and Access Management Standard.pdf • p10 (min length/composition/change-on-compromise per excerpt summary).&lt;br&gt;Third Party Security Standard.pdf • p.7 (“credentials… rotated… every ninety (90) calendar days”; default password changes); p.14 (“Hash passwords at rest…”).&lt;br&gt;Acceptable Use Policy.pdf • p.7 • L1–L3 (“…use a strong password… keep passwords confidential, and regularly change passwords.”).</t>
  </si>
  <si>
    <t>Cloud &amp; Hosting Security Standard • p11 (“secrets (e.g., passwords…digital certificates)…shall utilize approved…solutions”).</t>
  </si>
  <si>
    <t>Logging and Continuous Monitoring Standard • p.5 • 5.1.5 and 5.1.7 (auth/sign-on and admin login events logged).</t>
  </si>
  <si>
    <t>Replace “strong password” with measurable requirements; clarify rotation rules and service-account handling.</t>
  </si>
  <si>
    <t>Banned/breached password screening; secret vaulting; service account rotation; prohibit shared accounts; lockout/monitoring standards.</t>
  </si>
  <si>
    <t>Password policy compliance; secret rotation compliance; shared-account exceptions; auth failure anomaly alerts.</t>
  </si>
  <si>
    <t>Birthright Access Provisioning</t>
  </si>
  <si>
    <t>Define “birthright” vs request-based entitlements.</t>
  </si>
  <si>
    <t>Persona-based least-privilege bundles; auto-expiry for add-ons; SoD checks.</t>
  </si>
  <si>
    <t>Birthright catalog; exception rate; privilege creep indicators; periodic validation completion.</t>
  </si>
  <si>
    <t>RBAC Design</t>
  </si>
  <si>
    <t>Identity and Access Management Standard.pdf • p6 (“role-based access shall be linked to an HR system or equivalent.”).&lt;br&gt;Cloud &amp; Hosting Security Standard • p6 (“Role-based Access Control (RBAC) shall be used…”).&lt;br&gt;Third Party Security Standard.pdf • p.7 (“RBAC… segregate duties… least access”).</t>
  </si>
  <si>
    <t>Logging and Continuous Monitoring Standard • p.6 • 5.2.1 (least privilege / SoD language).</t>
  </si>
  <si>
    <t>Define role ownership, naming, and change control explicitly.</t>
  </si>
  <si>
    <t>Role engineering/mining; SoD matrix; HR attribute linkage; periodic role cleanup.</t>
  </si>
  <si>
    <t>Role catalog freshness; role owner attestations; SoD violations; role change audit trail.</t>
  </si>
  <si>
    <t>Identity and Access Management Standard.pdf • p7 (semi-annual revalidation; “SOX applicable applications’ access review…” per excerpt summary).&lt;br&gt;Third Party Security Standard.pdf • p.6 (“periodic access recertification”).&lt;br&gt;Cloud &amp; Hosting Security Standard • p7 (“authorized and revalidated…”).</t>
  </si>
  <si>
    <t>Logging and Continuous Monitoring Standard • p.6 • 5.3.2 (review aggregated system logs).</t>
  </si>
  <si>
    <t>Use explicit “certify/attest” wording and define evidence requirements.</t>
  </si>
  <si>
    <t>Cadence by risk tier; tool-based attestation; escalation for non-response; remediation SLAs.</t>
  </si>
  <si>
    <t>Completion SLA; overdue items; sampling/QA rate; evidence retention period.</t>
  </si>
  <si>
    <t>Directory Hygiene &amp; Stale Accounts</t>
  </si>
  <si>
    <t>Identity and Access Management Standard.pdf • p6 (“Inactive accounts shall be disabled after… 90 days.”).&lt;br&gt;Third Party Security Standard.pdf • p.8 (“identity… disabled, deleted… when… no longer… business requirement”).</t>
  </si>
  <si>
    <t>Logging and Continuous Monitoring Standard • p.8 • 5.4.6 (deactivated-account access attempts monitored).&lt;br&gt;Logging and Continuous Monitoring Standard • p.5 • 5.1.7 (account/privilege changes logged).</t>
  </si>
  <si>
    <t>Define inactivity thresholds by account type; define reactivation rules.</t>
  </si>
  <si>
    <t>Automated disablement; orphan detection; privileged/service-account hygiene; reconciliation with HR/IGA.</t>
  </si>
  <si>
    <t>Inactive accounts aged &gt; threshold; orphan counts; reactivation approvals; stale privileged account rate.</t>
  </si>
  <si>
    <t>Administrator Access Provisioning</t>
  </si>
  <si>
    <t>Third Party Security Standard.pdf • p.7 (“Privilege escalations… formalized process… limited time”).&lt;br&gt;Cloud &amp; Hosting Security Standard • p6 (admin access uses approved IAM/GAS).</t>
  </si>
  <si>
    <t>Network Security Standard • p.4 • 5.1.1.1 (dedicated account for privileged access).&lt;br&gt;Logging and Continuous Monitoring Standard • p.5 • 5.1.4 (alert on admin group membership changes).</t>
  </si>
  <si>
    <t>Logging and Continuous Monitoring Standard • p.10 • definition “Privileged Access”.</t>
  </si>
  <si>
    <t>Clarify “limited time” with maximum durations and approvals.</t>
  </si>
  <si>
    <t>JIT elevation via PAM; dedicated admin IDs; approvals + ticket linkage; session recording; post-elevation review.</t>
  </si>
  <si>
    <t>% admin access JIT; elevation duration compliance; admin group change alerts; post-elevation review completion.</t>
  </si>
  <si>
    <t>NGFW</t>
  </si>
  <si>
    <t>Third Party Security Standard.pdf • p.11 (“stateful firewalls… deny-all default… baseline configuration”).&lt;br&gt;Network Security Standard • p.10 • 5.10.1 (firewalls as critical network resources).&lt;br&gt;Cloud &amp; Hosting Security Standard • p9/p12 (“firewalls” generic reference).</t>
  </si>
  <si>
    <t>If “NGFW” is intended, name it and define minimum capabilities.</t>
  </si>
  <si>
    <t>IPS/app-ID, egress controls, TLS inspection policy, centralized logging, ownership, rule lifecycle.</t>
  </si>
  <si>
    <t>Rule recert cadence; default-deny compliance; logging coverage; egress exceptions.</t>
  </si>
  <si>
    <t>NAC</t>
  </si>
  <si>
    <t>Cloud &amp; Hosting Security Standard • p7 (“Only managed, corporate-owned devices are permitted access”).&lt;br&gt;Third Party Security Standard.pdf • p.10 (“certificate-based authentication… for wireless access”).</t>
  </si>
  <si>
    <t>Network Security Standard • p.4 • 5.1.2 (monitor for unauthorized devices).</t>
  </si>
  <si>
    <t>Clarify what “managed” means (MDM/EDR/encryption).</t>
  </si>
  <si>
    <t>Posture-based access; quarantine; guest/IoT segregation; enforcement across wired/wireless/remote.</t>
  </si>
  <si>
    <t>Device compliance rate; quarantine events; unmanaged device attempts; exception aging.</t>
  </si>
  <si>
    <t>VPN</t>
  </si>
  <si>
    <t>Third Party Security Standard.pdf • p.10 (“VPN tunnels… jump server/bastion host… MFA”).</t>
  </si>
  <si>
    <t>Network Security Standard • p.12 • definitions “Remote Access / Remote Connections” and “ZTNA”.&lt;br&gt;Network Security Standard • p.10 • “6.0 … Services” (Global Remote Access).&lt;br&gt;Cloud &amp; Hosting Security Standard • p7 (remote interactive access referenced).</t>
  </si>
  <si>
    <t>Use consistent terms (VPN vs ZTNA) and define allowed uses.</t>
  </si>
  <si>
    <t>Approved remote access methods; MFA + device posture; bastion for admin; logging/session controls; split-tunnel stance.</t>
  </si>
  <si>
    <t>Remote access method adoption; session logging coverage; admin access via bastion compliance.</t>
  </si>
  <si>
    <t>Segmentation &amp; Zoning</t>
  </si>
  <si>
    <t>Third Party Security Standard.pdf • p.10 (“security zones… segmenting… flows… approved… monitored… reviewed”).</t>
  </si>
  <si>
    <t>Cloud &amp; Hosting Security Standard • p9 (“VLANs…SDN…layered security zones”).&lt;br&gt;Network Security Standard • p.10 • 5.8.4 (boundary controls).</t>
  </si>
  <si>
    <t>Logging and Continuous Monitoring Standard • p.5 • 5.1.10 (“All unauthorized traffic shall be blocked and logged” + reference).</t>
  </si>
  <si>
    <t>Define required minimum zones and allowed flows.</t>
  </si>
  <si>
    <t>Default-deny between zones; management plane isolation; periodic drift review; enforce via policy-as-code where possible.</t>
  </si>
  <si>
    <t>Segmentation drift findings; firewall/ACL violations; allowed-flow approvals; zone-to-zone monitoring.</t>
  </si>
  <si>
    <t>Firewall Rule Review &amp; Change Mgmt</t>
  </si>
  <si>
    <t>Third Party Security Standard.pdf • p.11 (“Firewall rule review process… documented and regularly triggered…”).</t>
  </si>
  <si>
    <t>Change Management Standard • p5 (verify configuration before/after changes).&lt;br&gt;Logging and Continuous Monitoring Standard • p.8 • 5.4.5 (SCAP unauthorized change alerts).</t>
  </si>
  <si>
    <t>Define cadence, required artifacts, and expiry standards.</t>
  </si>
  <si>
    <t>Rule justification + owner; expiry/recert; emergency process; automated cleanup of unused rules.</t>
  </si>
  <si>
    <t>% rules with owners/expiry; recert completion; unused rule removal rate; emergency changes reconciled.</t>
  </si>
  <si>
    <t>Identity and Access Management Standard.pdf • p9 (“allowed methods… usage restrictions… monitor… unauthorized remote access.”).&lt;br&gt;Cloud &amp; Hosting Security Standard • p7 (TLS 1.2+, identity-aware access, managed devices, endpoint protection).&lt;br&gt;Third Party Security Standard.pdf • p.8 (approved gateways for non-managed devices); p.11 (remote access ports monitored; vendor access auditable process).&lt;br&gt;Acceptable Use Policy.pdf • p.11 • L1–L4 (“…Global Remote Access”).</t>
  </si>
  <si>
    <t>Network Security Standard • p.12 (definition “Remote Access / Remote Connections”).&lt;br&gt;Network Security Standard • p.12 (“Privileged Access Path” includes bastions/ZTNA proxies).&lt;br&gt;Data Classification &amp; Handling Standard • (Data Transfer) token restrictions (referenced).</t>
  </si>
  <si>
    <t>Convert definitions into enforceable “shall” requirements.</t>
  </si>
  <si>
    <t>Allowed methods list; MFA + posture; session timeout; geo/IP restrictions where appropriate; prohibited tools; SIEM/SOC logging.</t>
  </si>
  <si>
    <t>Remote access audit logs; posture compliance; vendor access approvals; session recording coverage for admin paths.</t>
  </si>
  <si>
    <t>Logging and Continuous Monitoring Standard • p.5 • 5.1.7 (“DNS query logging shall be enabled…”).</t>
  </si>
  <si>
    <t>Third Party Security Standard.pdf • p.21 (DNS query logging to detect malicious domains).&lt;br&gt;Network Security Standard • p.10 • “6.0 … Services” (Global DNS).</t>
  </si>
  <si>
    <t>Add blocking/response requirements in addition to logging.</t>
  </si>
  <si>
    <t>DNS filtering categories; sinkhole; alert thresholds; IR actions.</t>
  </si>
  <si>
    <t>DNS block events; mean time to respond; false positive rate; retention compliance.</t>
  </si>
  <si>
    <t>CSPM</t>
  </si>
  <si>
    <t>Cloud &amp; Hosting Security Standard • p9 (“regular review… identify… unauthorized services…”).&lt;br&gt;Third Party Security Standard.pdf • p.36 (glossary “CSPM”).</t>
  </si>
  <si>
    <t>Move CSPM from “concept/glossary” to explicit “shall” requirements.</t>
  </si>
  <si>
    <t>Continuous config assessment; misconfig SLAs; exception workflow; reporting.</t>
  </si>
  <si>
    <t>CSPM coverage; SLA compliance; exception aging; drift trend.</t>
  </si>
  <si>
    <t>Cloud Baseline / Hardening</t>
  </si>
  <si>
    <t>Cloud &amp; Hosting Security Standard • p9 (“secure configuration baseline… minimal installation… disable unnecessary ports”).&lt;br&gt;Vulnerability Management Standard.pdf • p.7 (“secure baseline… more than seven (7) days old”; “Scan and update gold images monthly”).</t>
  </si>
  <si>
    <t>Third Party Security Standard.pdf • p.31 (baseline standards consistent with hardening standards).&lt;br&gt;Logging and Continuous Monitoring Standard • p.8 • 5.4.5 (SCAP monitoring).</t>
  </si>
  <si>
    <t>Define baseline sources and how drift is handled.</t>
  </si>
  <si>
    <t>CIS-aligned baselines; golden image approvals; drift detection/enforcement; deviation approvals.</t>
  </si>
  <si>
    <t>Baseline compliance %; drift remediation time; golden image age; exception inventory.</t>
  </si>
  <si>
    <t>Vulnerability &amp; Patch Mgmt</t>
  </si>
  <si>
    <t>Vulnerability Management Standard.pdf • p.5 and p.7 (assets scanned; missing patches; remediation SLAs—per provided summary).&lt;br&gt;Cloud &amp; Hosting Security Standard • p8 (“accept security updates… at least monthly”).&lt;br&gt;Acceptable Use Policy.pdf • p.9 • L1–L2 (“…up to date system patches…”).&lt;br&gt;InfoSec Policy • p6 (systems maintained; references Vulnerability Management Standard).</t>
  </si>
  <si>
    <t>Open Source Software Policy • p.3 • “Roles and Responsibilities” (keep assets up-to-date; available for scanning).&lt;br&gt;Logging and Continuous Monitoring Standard • p.8 • 5.4.11 (pointer to Vulnerability Management Standard).</t>
  </si>
  <si>
    <t>Replace vague “monthly” with severity SLAs and verification.</t>
  </si>
  <si>
    <t>Critical/high SLAs; authenticated scanning; rescans to verify; time-boxed exceptions.</t>
  </si>
  <si>
    <t>Scan coverage; patch age distribution; SLA adherence; exception aging.</t>
  </si>
  <si>
    <t>Cloud Asset Inventory &amp; Lifecycle</t>
  </si>
  <si>
    <t>Vulnerability Management Standard.pdf • p.5 (CMDB/inventory basis; discovery scanning finds assets not in inventory—per summary).</t>
  </si>
  <si>
    <t>Cloud &amp; Hosting Security Standard • p12 (tagging/asset type referenced).</t>
  </si>
  <si>
    <t>Open Source Software Policy • p.5 • 5.4 (OSS inventory).</t>
  </si>
  <si>
    <t>Clarify system-of-record and required fields.</t>
  </si>
  <si>
    <t>CMDB/inventory required; minimum tags/owners; lifecycle states; reconciliation cadence.</t>
  </si>
  <si>
    <t>Inventory reconciliation results; unknown asset rate; owner coverage; deprovision evidence.</t>
  </si>
  <si>
    <t>Cloud Access &amp; Privileged Role Mgmt</t>
  </si>
  <si>
    <t>Cloud &amp; Hosting Security Standard • p6 (RBAC / least privilege basis).&lt;br&gt;Network Security Standard • p.12 (Privileged Access Path includes PAM platforms).&lt;br&gt;Third Party Security Standard.pdf • p.6–7 (PAM + least privilege references).</t>
  </si>
  <si>
    <t>State cloud-admin specifics separately from general IAM.</t>
  </si>
  <si>
    <t>Admin tiering; JIT/PIM; break-glass; session logging/recording; periodic IAM policy review.</t>
  </si>
  <si>
    <t>Cloud admin role inventory; JIT adoption; break-glass tests; privileged session logging coverage.</t>
  </si>
  <si>
    <t>M365 &amp; Email</t>
  </si>
  <si>
    <t>Records Management Policy • p.3 • “2.0 Scope” (includes “e-mail” as record medium).</t>
  </si>
  <si>
    <t>Name the control and define scope.</t>
  </si>
  <si>
    <t>SEG requirements (anti-phish, sandboxing, URL rewrite, DMARC posture) + SIEM logging.</t>
  </si>
  <si>
    <t>Phish detection metrics; quarantine rates; DMARC enforcement level; alert SLA.</t>
  </si>
  <si>
    <t>Email Security Policy</t>
  </si>
  <si>
    <t>Third Party Security Standard.pdf • p.11 (“If… data needs to be emailed… the email shall be encrypted”).</t>
  </si>
  <si>
    <t>Data Classification &amp; Handling Standard • (Data Transfer) (“Outlook emails…” / “email must be encrypted” referenced).&lt;br&gt;Encryption and Key Management Standard.pdf • p7 (DKIM mechanism mentioned).&lt;br&gt;Third Party Security Standard.pdf • p.14 (DKIM mentioned).</t>
  </si>
  <si>
    <t>Consolidate rules into one “Email Security” section/policy.</t>
  </si>
  <si>
    <t>Encryption triggers; approved methods; external forwarding restrictions; BEC escalation steps; SPF/DKIM/DMARC requirements.</t>
  </si>
  <si>
    <t>Encryption compliance; forwarding exceptions; DMARC reports; BEC drill outcomes.</t>
  </si>
  <si>
    <t>Phishing Simulation &amp; Awareness</t>
  </si>
  <si>
    <t>Acceptable Use Policy.pdf • p.5 • L1–L2 (“Report Phish button…”).&lt;br&gt;Cloud &amp; Hosting Security Standard • p15 (annual training/awareness referenced).&lt;br&gt;Security Awareness and Training Standard.pdf • p.4 (phishing awareness).</t>
  </si>
  <si>
    <t>Distinguish “awareness training” vs “simulation program.”</t>
  </si>
  <si>
    <t>Simulation cadence; targeted retraining; KPIs and thresholds.</t>
  </si>
  <si>
    <t>Click/report rates; repeat-failure rate; completion SLAs; trend over time.</t>
  </si>
  <si>
    <t>M365 Tenant Hardening Baseline</t>
  </si>
  <si>
    <t>Third Party Security Standard.pdf • p.11 (SharePoint Online / OneDrive approved transfer systems).</t>
  </si>
  <si>
    <t>Define baseline controls clearly and centrally.</t>
  </si>
  <si>
    <t>Conditional Access baseline; legacy auth blocked; admin role governance; audit log retention; external sharing limits.</t>
  </si>
  <si>
    <t>Secure score/benchmark; CA policy coverage; legacy auth attempts blocked; audit retention compliance.</t>
  </si>
  <si>
    <t>AI Acceptable Use Policy</t>
  </si>
  <si>
    <t>Artificial Intelligence Policy.pdf • Section 5.0–6.0 excerpts (page not retrievable): “ONLY use AI tooling… approved by the RAI Team…”; “Approved AI Tooling…”.</t>
  </si>
  <si>
    <t>Security Awareness and Training Standard.pdf • p.4 (training includes GenAI / AI-based tools—per provided summary).</t>
  </si>
  <si>
    <t>Add a “can/can’t input” table by data classification.</t>
  </si>
  <si>
    <t>Approved tools list; data restrictions; human review rules; monitoring/enforcement; exception process.</t>
  </si>
  <si>
    <t>Acknowledgment completion; tool usage logs; violations/exception aging; DLP/egress alerts tied to AI tools.</t>
  </si>
  <si>
    <t>AI Risk Assessment &amp; Model Governance</t>
  </si>
  <si>
    <t>Artificial Intelligence Standard.pdf • p.3 • L1–L4 (“AI… risk and impact assessment… full lifecycle governance procedures…”).&lt;br&gt;Third Party Security Standard.pdf • p.12 (“…prohibited for training AI models”).</t>
  </si>
  <si>
    <t>Data Classification &amp; Handling Standard (restricted data prohibited for training AI models unless approved—referenced).</t>
  </si>
  <si>
    <t>Define risk tiers and required artifacts per tier.</t>
  </si>
  <si>
    <t>Tiered approvals; security/privacy testing; monitoring/recertification; incident response for model failures.</t>
  </si>
  <si>
    <t>Registry completeness; tier compliance; testing evidence; recert frequency; monitoring alerts.</t>
  </si>
  <si>
    <t>Shadow AI Discovery &amp; Inventory</t>
  </si>
  <si>
    <t>Artificial Intelligence Standard.pdf • p.7 • L1–L4 (“registered into the AI Use Case &amp; Model Registry…”).</t>
  </si>
  <si>
    <t>Define “shadow AI” and consequence/escalation path.</t>
  </si>
  <si>
    <t>Discovery tooling; inventory + owners; containment and sanctioned alternatives; exceptions.</t>
  </si>
  <si>
    <t>Shadow AI detections; time-to-remediate; inventory completeness; repeat violations.</t>
  </si>
  <si>
    <t>DAST</t>
  </si>
  <si>
    <t>Third Party Security Standard.pdf • p.24 (“security testing… including… (SAST/DAST)”).</t>
  </si>
  <si>
    <t>Change Management Standard • p5 (security testing referenced for changes).</t>
  </si>
  <si>
    <t>Third Party Security Policy.pdf • page not captured (SAST/DAST referenced—per summary).</t>
  </si>
  <si>
    <t>Make gating criteria and scope explicit.</t>
  </si>
  <si>
    <t>Authenticated + API DAST; cadence; gating for critical apps; retest requirements.</t>
  </si>
  <si>
    <t>DAST coverage; findings aging; release gating exceptions; retest completion.</t>
  </si>
  <si>
    <t>SAST</t>
  </si>
  <si>
    <t>Third Party Security Standard.pdf • p.24 (SAST alongside DAST).</t>
  </si>
  <si>
    <t>Secure SDLC Standard.pdf • page not captured (“Static and dynamic analysis tools…”).&lt;br&gt;Cloud &amp; Hosting Security Standard • p8 (OWASP reference).&lt;br&gt;Open Source Software Policy • p.5 • 5.5 (security review upon OSS registration—per summary).</t>
  </si>
  <si>
    <t>Mandatory SAST in CI; triage SLAs; gating thresholds; exception process.</t>
  </si>
  <si>
    <t>SAST adoption; MTTR by severity; exception aging; false positive governance.</t>
  </si>
  <si>
    <t>WAF</t>
  </si>
  <si>
    <t>Secure SDLC Standard.pdf • page not captured (“Web applications… protected by… WAFs…”).</t>
  </si>
  <si>
    <t>Logging and Continuous Monitoring Standard • p.8 • “6.0 … Services” (“Internet Application Protection (IAP)”).&lt;br&gt;Network Security Standard • p.12 • definition “Web Application Filtering”.</t>
  </si>
  <si>
    <t>WAF required for internet-facing apps; tuning/ownership; SIEM logging; change control.</t>
  </si>
  <si>
    <t>Coverage %; tuned rulesets; false positive handling SLA; alert coverage.</t>
  </si>
  <si>
    <t>EDR</t>
  </si>
  <si>
    <t>Endpoint Protection Standard.pdf • p6 (L1): “Endpoint protection solutions (including Endpoint Detection and Response (EDR)) shall be deployed and regularly updated…”</t>
  </si>
  <si>
    <t>Cloud &amp; Hosting Security Standard • p7 (managed endpoint protection required for remote access).</t>
  </si>
  <si>
    <t>Logging and Continuous Monitoring Standard • p.8 • “6.0 … Services” (Endpoint Protection / Restaurant Endpoint Control listed).</t>
  </si>
  <si>
    <t>Coverage targets; tamper protection; SIEM/SOC integration; alert SLAs; isolate authority.</t>
  </si>
  <si>
    <t>Coverage %; sensor health; response times; isolation events and outcomes.</t>
  </si>
  <si>
    <t>Business Continuity and Technology Resiliency Standard.pdf • p.8 • L1–L2 (IR plans tested).&lt;br&gt;Network Security Standard • p.10 • 5.9.1 (incident reporting).&lt;br&gt;Third Party Security Standard.pdf • p.21 (incident response plans/capabilities via exercises—per summary).</t>
  </si>
  <si>
    <t>Cloud &amp; Hosting Security Standard • p15 (incident management/response processes referenced).</t>
  </si>
  <si>
    <t>Logging and Continuous Monitoring Standard • p.3 (“1.0 Purpose”) and p.4 (Roles &amp; Responsibilities; incident@us.mcd.com—per summary).&lt;br&gt;Third Party Security Standard.pdf • p.14 (key compromise reported to IR—per summary).</t>
  </si>
  <si>
    <t>Name required playbooks and exercise types.</t>
  </si>
  <si>
    <t>Playbooks (ransomware/BEC/cloud compromise); severity taxonomy; RACI; comms; evidence handling; on-call model.</t>
  </si>
  <si>
    <t>Exercise cadence; time-to-contain; post-incident action closure rate; evidence retention compliance.</t>
  </si>
  <si>
    <t>Logs ingested into SOC/SIEM</t>
  </si>
  <si>
    <t>Third Party Security Standard.pdf • p.14 (“Logs… ingested by… SIEM… for correlation”).&lt;br&gt;Third Party Security Standard.pdf • p.7 (“Integrate logs with SIEM”).&lt;br&gt;Logging and Continuous Monitoring Standard • p.9 (Definitions “SIEM” and “Ingestion Capacity”).</t>
  </si>
  <si>
    <t>Logging and Continuous Monitoring Standard • p.6 • 5.3.2 (review aggregated logs in coordination with GSOC).&lt;br&gt;Cloud &amp; Hosting Security Standard • p7 (“sessions… logged to a centralized logging platform and monitored”).</t>
  </si>
  <si>
    <t>Network Security Standard • p.10 • “6.0 … Services” (SOC required service).&lt;br&gt;Data Center Physical Security Standard • p6 (SOC listed—per summary).&lt;br&gt;Business Continuity and Technology Resiliency Standard.pdf • p.8 (SOC referenced as service only—per summary).</t>
  </si>
  <si>
    <t>Mandatory SIEM onboarding for defined sources; normalization fields; retention durations; alert coverage SLAs; ownership.</t>
  </si>
  <si>
    <t>Log source coverage; parsing success; retention compliance; alert SLA adherence; “not ingested” register.</t>
  </si>
  <si>
    <t>Acceptable Use Policy.pdf • p.10 • L1–L3 (return assets at relationship end).&lt;br&gt;Identity and Access Management Standard.pdf • p9 (third-party accounts disabled when no longer needed).</t>
  </si>
  <si>
    <t>Cloud &amp; Hosting Security Standard • p6 (termination return/sanitize/dispose referenced).&lt;br&gt;Third Party Security Policy.pdf • page not captured (lifecycle sections; “Return, destroy, or irreversibly dispose…”—per summary).&lt;br&gt;Network Security Standard • p.4 • 5.1.3 (follow Third-Party Security Policy).</t>
  </si>
  <si>
    <t>Records Management Policy • p.4 (vendors/suppliers responsibilities).&lt;br&gt;McDonald’s Global Personal Information Governance Policy • page not exposed (vendors in scope—per summary).</t>
  </si>
  <si>
    <t>Make lifecycle gates explicit and consistent with procurement.</t>
  </si>
  <si>
    <t>Due diligence tiers; reassessment triggers; offboarding checklist (disable accounts, rotate keys, deletion attestations); audit rights.</t>
  </si>
  <si>
    <t>Offboarding completion SLA; key rotation confirmation; deletion attestations; reassessment cadence compliance.</t>
  </si>
  <si>
    <t>Third Party Security Standard.pdf • p.27 (“Include contractual flow-down clauses…”).&lt;br&gt;Third Party Security Standard.pdf • p.31 (contract compliance expectations).&lt;br&gt;Encryption and Key Management Standard.pdf • p9 (L1) (“contractual enforcement of encryption obligations by the third party.”).</t>
  </si>
  <si>
    <t>Asset Standard.pdf • p.3 • L1–L2 (contracts include privacy/security language).&lt;br&gt;Acceptable Use Policy.pdf • p.9 • L1–L3 (privacy/security clauses).&lt;br&gt;Cloud &amp; Hosting Security Standard • p6 (shared responsibility matrix established/documented/acknowledged).</t>
  </si>
  <si>
    <t>Logging and Continuous Monitoring Standard • p.6 • 5.4.1 (monitoring in accordance with contractual requirements).</t>
  </si>
  <si>
    <t>Provide a minimum clause set and owners for enforcement.</t>
  </si>
  <si>
    <t>Baseline clauses: breach notice SLA, audit rights, subprocessor controls, encryption/KMS, logging access, pen test rights, data residency.</t>
  </si>
  <si>
    <t>Contract clause checklist completion; vendor breach notice compliance; audit exercise outcomes; subprocessor inventory.</t>
  </si>
  <si>
    <t>Data Classification Policy</t>
  </si>
  <si>
    <t>Asset Standard.pdf • p.5 • L1–L2 (“assets… shall be classified and labeled…”).&lt;br&gt;Third Party Security Standard.pdf • p.11 (“Implement a formal data classification process…”).</t>
  </si>
  <si>
    <t>Data Governance Policy • p.5 (classification process definition).&lt;br&gt;Data Classification &amp; Handling Standard (classes referenced).</t>
  </si>
  <si>
    <t>Put a single handling matrix in one authoritative place.</t>
  </si>
  <si>
    <t>Classification → required controls (share/encrypt/log/retain/AI restrictions); labeling; enforcement tooling; exceptions.</t>
  </si>
  <si>
    <t>Labeling coverage; misclassification rate; control compliance by class; exception aging.</t>
  </si>
  <si>
    <t>Third Party Security Standard.pdf • p.12 (“Records Retention Schedules…”; delete/dispose after expiry).&lt;br&gt;Asset Standard.pdf • p.3 • L1–L3 (“lifecycle controls (including data retention requirements)”).</t>
  </si>
  <si>
    <t>Data Classification &amp; Handling Standard (retention/deletion referenced).&lt;br&gt;Data Governance Policy • p.5 (Records Management Policy referenced).</t>
  </si>
  <si>
    <t>Retention schedules by data type/class; approved destruction methods; evidence requirements; third-party attestations.</t>
  </si>
  <si>
    <t>Retention compliance; disposal evidence completeness; legal hold execution timeliness; deletion attestations.</t>
  </si>
  <si>
    <t>Business Continuity and Technology Resiliency Standard.pdf • p.8 • L1–L2 (test integrity; perform restoration).&lt;br&gt;Cloud &amp; Hosting Security Standard • p15 (“Backup and recovery measures shall be tested quarterly”).</t>
  </si>
  <si>
    <t>Restore-test cadence; immutable/offline backups where needed; RTO/RPO by tier; evidence retention.</t>
  </si>
  <si>
    <t>Restore success rate; RTO/RPO performance; test cadence adherence; immutable backup coverage.</t>
  </si>
  <si>
    <t>Encryption (at rest &amp; in transit)</t>
  </si>
  <si>
    <t>Acceptable Use Policy.pdf • p.5 • L1–L3 (“emailed outside… appropriate encryption.”).</t>
  </si>
  <si>
    <t>Data Classification &amp; Handling Standard (encrypt at-rest and in-transit; AES-256/TLS 1.2+ referenced).&lt;br&gt;Encryption and Key Management Standard.pdf • p7 (DKIM mechanism mentioned).&lt;br&gt;Third Party Security Standard.pdf • p.14 (DKIM mentioned).</t>
  </si>
  <si>
    <t>Separate “email auth” vs “data encryption” terminology.</t>
  </si>
  <si>
    <t>Mandatory encryption locations (endpoints/backups/db/logs); key ownership (KMS/HSM/BYOK); rotation; enforcement/monitoring.</t>
  </si>
  <si>
    <t>Encryption coverage; key rotation compliance; TLS posture; exceptions register; email auth posture tracked separately.</t>
  </si>
  <si>
    <t>Direct citation(s)</t>
  </si>
  <si>
    <t>Current Policy Language Summary</t>
  </si>
  <si>
    <t>Gold-Standard</t>
  </si>
  <si>
    <t>1. Explicitly define approved enterprise IdP(s).  2. Require all enterprise applications to authenticate through the enterprise IdP unless exempted.</t>
  </si>
  <si>
    <t>“All enterprise applications shall authenticate through the approved enterprise identity provider unless a documented security exception is approved.”</t>
  </si>
  <si>
    <t>Identity and Access Management Standard.pdf • p7: “Allocation and use of privileged access rights shall be restricted and controlled… Privileged accounts shall be kept to minimum…”; Third Party Security Standard.pdf • p.6: “centralized Privileged Access Management (PAM) solution…”</t>
  </si>
  <si>
    <t>1. Require all privileged access to use the approved PAM platform.  2. Require time-bound access with session logging and recording.</t>
  </si>
  <si>
    <t>“All privileged access shall be provisioned through the approved PAM platform, require documented approval, be time-bound where feasible, and be fully logged and recorded.”</t>
  </si>
  <si>
    <t>Identity and Access Management Standard.pdf • p4: “integrated with… GIA Platform for provisioning or de-provisioning”; Third Party Security Standard.pdf • p.6: “documented Identity Governance Framework… identity provisioning, de-provisioning, and periodic access recertification”</t>
  </si>
  <si>
    <t>1. Require all provisioning and deprovisioning through the approved IGA workflow.  2. Define recertification cadence and SoD enforcement.</t>
  </si>
  <si>
    <t>“All access provisioning, modification, and deprovisioning shall occur through the approved IGA workflow and include documented request reason, approver, entitlement, and retained audit evidence.”</t>
  </si>
  <si>
    <t>Identity and Access Management Standard.pdf • p5: “Multi-factor authentication shall be enforced.”; Third Party Security Standard.pdf • p.7: “MFA… required for all access”</t>
  </si>
  <si>
    <t>1. Require MFA for all applications, remote access, and privileged access.  2. Require phishing-resistant MFA for high-risk and administrative access.</t>
  </si>
  <si>
    <t>“MFA shall be required for all applications, all remote access, and all privileged access, with phishing-resistant MFA required for high-risk and administrative access.”</t>
  </si>
  <si>
    <t>1. Require SSO for all enterprise applications where feasible.  2. Prohibit local authentication where enterprise SSO is available.</t>
  </si>
  <si>
    <t>Replace “to all single sign on integrated applications” with “to all applications” unless a documented exception is approved.</t>
  </si>
  <si>
    <t>Identity and Access Management Standard.pdf • p7: “approve granting and revoking… when workforce members join… move… change roles… or leave…”; Third Party Security Standard.pdf • p.7: “immediate deactivation… upon termination or job role changes”</t>
  </si>
  <si>
    <t>1. Define authoritative lifecycle triggers and deprovisioning SLAs.  2. Apply JML controls across employees, contractors, vendors, and privileged accounts.</t>
  </si>
  <si>
    <t>“Access shall be provisioned, modified, or removed based on authoritative workforce status changes, and termination-related deprovisioning shall occur within defined SLA timelines.”</t>
  </si>
  <si>
    <t>Identity and Access Management Standard.pdf • p7: “reviewed… at least semi-annually…”; Cloud &amp; Hosting Security Standard • p7: “Access shall be reviewed…on an annual basis.”</t>
  </si>
  <si>
    <t>1. Create a distinct privileged access review requirement.  2. Require tighter review cadence and remediation timelines for privileged access.</t>
  </si>
  <si>
    <t>“Privileged access shall be reviewed at least quarterly, and unjustified privileged access shall be removed within a defined remediation window.”</t>
  </si>
  <si>
    <t>Acceptable Use Policy.pdf • p.7 L1–L3: “use a strong password… keep passwords confidential, and regularly change passwords.”; Third Party Security Standard.pdf • p.14: “Hash passwords at rest…”</t>
  </si>
  <si>
    <t>The current language expects passwords to be strong, confidential, and protected, and references secure storage. However, “strong password” remains vague, and the language appears fragmented rather than consolidated into a modern authentication standard.</t>
  </si>
  <si>
    <t>1. Define measurable password requirements.  2. Require compromised-password screening and secure storage.</t>
  </si>
  <si>
    <t>“Passwords shall meet approved minimum length requirements, be screened against known compromised passwords, and be securely stored using approved hashing standards.”</t>
  </si>
  <si>
    <t>Identity and Access Management Standard.pdf • p6: “role-based access shall be linked to an HR system or equivalent.”; Third Party Security Standard.pdf • p.7: “RBAC… segregate duties… least access”</t>
  </si>
  <si>
    <t>The current language establishes RBAC as the access model and links it to HR-driven identity structure while also tying it to least privilege and segregation of duties. It is a strong baseline, but does not yet define role ownership, design standards, maintenance expectations, or conflict management detail.</t>
  </si>
  <si>
    <t>1. Require each role to have a named owner and business purpose.  2. Define SoD review and periodic role cleanup.</t>
  </si>
  <si>
    <t>“Each access role shall have a named owner, documented business purpose, defined entitlements, and periodic review for continued appropriateness.”</t>
  </si>
  <si>
    <t>Identity and Access Management Standard.pdf • p7: “SOX applicable applications’ access review…”; Third Party Security Standard.pdf • p.6: “periodic access recertification”</t>
  </si>
  <si>
    <t>1. Formalize access certification as an enterprise control with defined cadence.  2. Define standard evidence and escalation requirements.</t>
  </si>
  <si>
    <t>“Access certifications shall be performed on a defined schedule by designated reviewers, with all unresolved items escalated and remediated within approved timelines.”</t>
  </si>
  <si>
    <t>Identity and Access Management Standard.pdf • p6: “Inactive accounts shall be disabled after… 90 days.”; Third Party Security Standard.pdf • p.8: “identity… disabled, deleted… when… no longer… business requirement”</t>
  </si>
  <si>
    <t>1. Define inactivity thresholds by account class.  2. Require reactivation approval and stale/orphan account review.</t>
  </si>
  <si>
    <t>“Inactive accounts shall be disabled based on approved thresholds by account type, and reactivation shall require documented approval and validation of continued business need.”</t>
  </si>
  <si>
    <t>Third Party Security Standard.pdf • p.7: “Privilege escalations… formalized process… limited time”; Cloud &amp; Hosting Security Standard • p6: administrator access uses approved IAM/GAS</t>
  </si>
  <si>
    <t>The current language shows that administrative access is expected to follow a formal, limited-time process and use approved enterprise identity services. It is good intent, but does not yet define workflow, approval path, tooling requirements, and automatic expiry in enough detail.</t>
  </si>
  <si>
    <t>1. Require dedicated admin identities and JIT elevation.  2. Require automatic expiry for temporary administrative access.</t>
  </si>
  <si>
    <t>“Administrative access shall be provisioned only through approved identity and privileged access workflows, require documented approval, and expire automatically at the end of the approved period.”</t>
  </si>
  <si>
    <t>VPN / Remote Access Technology</t>
  </si>
  <si>
    <t>1. Define approved remote access architectures.  2. Require compliant device posture and centralized logging for administrative remote access.</t>
  </si>
  <si>
    <t>“Administrative remote access shall occur only through approved VPN, bastion, or zero trust access services with MFA, compliant devices, and centralized logging.”</t>
  </si>
  <si>
    <t>Network Segmentation &amp; Zoning</t>
  </si>
  <si>
    <t>1. Define mandatory enterprise security zones.  2. Require default-deny for inter-zone traffic.</t>
  </si>
  <si>
    <t>“Networks shall be segmented into defined security zones, and inter-zone traffic shall be denied by default unless explicitly approved, documented, and logged.”</t>
  </si>
  <si>
    <t>Firewall Rule Review &amp; Change Management</t>
  </si>
  <si>
    <t>1. Require each rule to have a documented owner and business justification.  2. Require review cadence plus expiration or recertification.</t>
  </si>
  <si>
    <t>“All firewall rules shall have a documented owner, business justification, review cycle, and expiration or recertification requirement.”</t>
  </si>
  <si>
    <t>Identity and Access Management Standard.pdf • p9: “establish and document allowed methods of remote access… usage restrictions… monitor… unauthorized remote access.”; Third Party Security Standard.pdf • p.8: “Non‑McDonald’s devices… only through approved remote access gateways”</t>
  </si>
  <si>
    <t>1. Define approved remote access methods and require MFA.  2. Require compliant device posture and centralized monitoring.</t>
  </si>
  <si>
    <t>“Remote access shall occur only through approved enterprise services and shall require MFA, compliant device posture, session controls, and centralized monitoring.”</t>
  </si>
  <si>
    <t>1. Require DNS logging and blocking for known malicious domains.  2. Define alerting and response expectations for suspicious DNS activity.</t>
  </si>
  <si>
    <t>“DNS security controls shall log, monitor, and block requests to known malicious domains and generate alerts for suspicious query activity.”</t>
  </si>
  <si>
    <t>Cloud &amp; Hosting Security Standard • p9: “secure configuration baseline… minimal installation… disable unnecessary ports”; Vulnerability Management Standard.pdf • p.7: “Scan and update gold images monthly”</t>
  </si>
  <si>
    <t>The current language requires hardened baselines, minimal installation, and removal of unnecessary exposure, and expects gold images to be kept current. It is solid baseline hardening language, but does not define benchmark sources, drift management, or exception handling sufficiently.</t>
  </si>
  <si>
    <t>1. Require all cloud assets to comply with an approved hardening baseline.  2. Require drift detection and remediation within defined timelines.</t>
  </si>
  <si>
    <t>“All cloud assets shall comply with the approved hardening baseline, and baseline drift shall be detected, reported, and remediated within defined SLA timelines.”</t>
  </si>
  <si>
    <t>Vulnerability &amp; Patch Management</t>
  </si>
  <si>
    <t>Vulnerability Management Standard.pdf • p.5 and p.7: assets scanned; missing patches; remediation SLAs (per provided summary); Cloud &amp; Hosting Security Standard • p8: “accept security updates on at least a monthly basis”</t>
  </si>
  <si>
    <t>The current language confirms that scanning, patching, and remediation timelines exist, and that cloud systems are expected to take updates regularly. However, the phrasing is still broad and should be more explicit about severity-based timelines, verification of remediation, and exceptions.</t>
  </si>
  <si>
    <t>1. Define severity-based remediation SLAs.  2. Require re-scan or equivalent evidence to verify remediation.</t>
  </si>
  <si>
    <t>“Critical and high-risk vulnerabilities shall be remediated within defined SLA timelines and validated through re-scan or equivalent evidence.”</t>
  </si>
  <si>
    <t>Vulnerability Management Standard.pdf • p.5: assets documented in CMDB; discovery scanning identifies assets not in inventory (per provided summary)</t>
  </si>
  <si>
    <t>The current language indicates that technical assets should be represented in inventory and that discovery processes should identify unmanaged assets. It supports a basic inventory control, but does not define mandatory inventory fields, tagging expectations, or retirement requirements.</t>
  </si>
  <si>
    <t>1. Require all cloud resources to be recorded in the approved inventory.  2. Define mandatory metadata and reconciliation between discovery and inventory.</t>
  </si>
  <si>
    <t>“All cloud resources shall be recorded in the approved inventory and tagged with required ownership, environment, criticality, and business purpose metadata.”</t>
  </si>
  <si>
    <t>Third Party Security Standard.pdf • p.11: “If… data needs to be emailed… the email shall be encrypted”</t>
  </si>
  <si>
    <t>The current language clearly requires encryption for sensitive data sent by email. That is an important control, but it is only one element of a complete email security standard and does not address forwarding, impersonation risk, approved domains, reporting expectations, or message authentication.</t>
  </si>
  <si>
    <t>1. Require encryption for sensitive outbound email.  2. Define restrictions for external forwarding and impersonation-related controls.</t>
  </si>
  <si>
    <t>“External email containing restricted data shall be encrypted, and unauthorized external forwarding, impersonation risks, and suspicious messages shall be governed by the enterprise email security standard.”</t>
  </si>
  <si>
    <t>Artificial Intelligence Policy.pdf • Section 5.0–6.0 excerpts: “ONLY use AI tooling… approved by the RAI Team…”</t>
  </si>
  <si>
    <t>The current language is clear that only approved AI tools may be used. That is strong governance intent, but the policy remains incomplete if it does not also define what data may be entered, how outputs must be reviewed, and what monitoring or enforcement applies.</t>
  </si>
  <si>
    <t>1. Restrict use to approved AI tools only.  2. Define permitted/prohibited inputs and required review of outputs.</t>
  </si>
  <si>
    <t>“Users shall only use approved AI tools and shall not input restricted, confidential, or regulated data unless expressly authorized by policy.”</t>
  </si>
  <si>
    <t>Artificial Intelligence Standard.pdf • p.3 • L1–L4: “AI… risk and impact assessment… full lifecycle governance procedures…”</t>
  </si>
  <si>
    <t>The current language shows that AI use is subject to risk and impact assessment and lifecycle governance. It is an important governance foundation, but does not yet identify model risk tiers, required evidence, review gates, or monitoring expectations with enough specificity.</t>
  </si>
  <si>
    <t>1. Define AI/model risk tiers.  2. Require governance, privacy, security, and monitoring controls before production deployment.</t>
  </si>
  <si>
    <t>“All AI use cases shall be classified by risk tier and complete the required governance, privacy, security, and monitoring controls before production deployment.”</t>
  </si>
  <si>
    <t>Artificial Intelligence Standard.pdf • p.7 • L1–L4: “registered into the AI Use Case &amp; Model Registry…”</t>
  </si>
  <si>
    <t>The current language requires sanctioned AI use cases and models to be registered. That is a good control for approved AI, but it does not directly address unapproved or shadow AI usage outside the registry.</t>
  </si>
  <si>
    <t>1. Require registration of all AI tools, models, and use cases.  2. Define processes to detect and remediate unregistered AI use.</t>
  </si>
  <si>
    <t>“All AI tools, models, and use cases shall be registered in the enterprise AI registry, and unregistered AI use shall be identified and remediated.”</t>
  </si>
  <si>
    <t>Artificial Intelligence Policy.pdf: “official list of approved tools… maintained by the RAI Team… continuously evaluated…”</t>
  </si>
  <si>
    <t>The current language indicates that approved AI tools are centrally maintained and evaluated over time. That is helpful, but it does not define review cadence, criteria for continued approval, or how usage will be monitored.</t>
  </si>
  <si>
    <t>1. Define periodic review cadence for approved AI tools.  2. Require usage logging and continued-use review based on risk.</t>
  </si>
  <si>
    <t>“Approved AI tools shall be reviewed periodically for continued business need, data handling risk, and security posture, with usage subject to enterprise monitoring.”</t>
  </si>
  <si>
    <t>Third Party Security Standard.pdf • p.24: “security testing… including… (SAST/DAST)”</t>
  </si>
  <si>
    <t>The current language confirms that DAST is recognized as part of the security testing model. However, it does not define which applications require DAST, whether authenticated or API testing is required, or what findings should block release.</t>
  </si>
  <si>
    <t>1. Define which applications require DAST.  2. Define release gating and remediation requirements for DAST findings.</t>
  </si>
  <si>
    <t>“Internet-facing and high-risk applications shall undergo approved DAST, including authenticated and API testing where applicable, before production release and after major changes.”</t>
  </si>
  <si>
    <t>Secure SDLC Standard.pdf: “Static and dynamic analysis tools…”; Third Party Security Standard.pdf • p.24: SAST referenced alongside DAST</t>
  </si>
  <si>
    <t>The current language confirms that static analysis is part of the development security model. It does not yet define whether SAST must run in CI/CD, what severity thresholds apply, or how exceptions should be handled.</t>
  </si>
  <si>
    <t>1. Require SAST for all in-scope application code.  2. Integrate SAST into CI/CD with defined waiver thresholds.</t>
  </si>
  <si>
    <t>“All in-scope code shall be scanned using approved SAST tooling before release, and critical findings shall be remediated or formally waived before deployment.”</t>
  </si>
  <si>
    <t>Secure SDLC Standard.pdf: “Web applications… protected by… WAFs…”</t>
  </si>
  <si>
    <t>The current language directly requires WAF protection for web applications, which is a meaningful control statement. However, it should further define which applications are in scope, how rules are tuned, and how alerts and logs are operationalized.</t>
  </si>
  <si>
    <t>1. Define which internet-facing applications require WAF protection.  2. Require active monitoring, periodic rule tuning, and centralized logging.</t>
  </si>
  <si>
    <t>“All internet-facing web applications shall be protected by an approved WAF with active monitoring, periodic rule tuning, and centralized logging.”</t>
  </si>
  <si>
    <t>Asset Classification and Lifecycle Management Standard.pdf • p.3 • L1–L3: scope includes “applications”; Third Party Security Standard.pdf • p.12: SOX tagging includes “Applications”</t>
  </si>
  <si>
    <t>The current language shows that applications are part of governance and classification scope. That is helpful, but it does not create a complete application inventory standard with required metadata, ownership, and lifecycle expectations.</t>
  </si>
  <si>
    <t>1. Require all enterprise applications to be inventoried.  2. Define mandatory metadata such as owner, criticality, classification, and exposure.</t>
  </si>
  <si>
    <t>“All enterprise applications shall be recorded in the approved inventory with a named owner, business purpose, criticality, data classification, and exposure profile.”</t>
  </si>
  <si>
    <t>Asset Standard.pdf • p.5 • L1–L2: “An asset inventory shall be continuously maintained…”</t>
  </si>
  <si>
    <t>The current language implies lifecycle accountability through continuous inventory maintenance, but does not establish formal lifecycle stages, required security gates, or decommissioning requirements for applications.</t>
  </si>
  <si>
    <t>1. Define lifecycle stages from intake through retirement.  2. Require formal decommissioning and dependency closure.</t>
  </si>
  <si>
    <t>“Applications shall follow defined lifecycle stages from intake through retirement, including documented decommission steps for access removal, data handling, and dependency closure.”</t>
  </si>
  <si>
    <t>SSDLC</t>
  </si>
  <si>
    <t>InfoSec Policy • p6: “Software changes shall follow… Secure Software Development Lifecycle Standard.”</t>
  </si>
  <si>
    <t>The current language clearly requires software changes to follow the SSDLC. That is important top-level direction, but it would be stronger if the policy or linked standard more directly enumerated minimum SSDLC requirements.</t>
  </si>
  <si>
    <t>1. Define minimum SSDLC controls such as review, scanning, and testing.  2. Require documented release approval for software changes.</t>
  </si>
  <si>
    <t>“All software changes shall comply with the SSDLC, including security requirements, design review, code scanning, testing, and documented release approval.”</t>
  </si>
  <si>
    <t>Secure SDLC Standard.pdf: “application penetration testing… at least every 6 months”; Third Party Security Standard.pdf • p.4: third-party annual pen test requirement</t>
  </si>
  <si>
    <t>The current language is relatively mature because it establishes a testing cadence and recognizes external testing obligations in some cases. The remaining gap is greater specificity around scope, independence, remediation closure, and retest expectations.</t>
  </si>
  <si>
    <t>1. Define which applications require independent penetration testing.  2. Require remediation validation and retesting after major changes.</t>
  </si>
  <si>
    <t>“Internet-facing and high-risk applications shall undergo independent penetration testing at least every 6 months and after major material changes, with remediation validated before closure.”</t>
  </si>
  <si>
    <t>Endpoint Protection Standard.pdf • p6: “Endpoint protection solutions (including Endpoint Detection and Response (EDR)) shall be deployed and regularly updated…”</t>
  </si>
  <si>
    <t>The current language explicitly requires EDR, which is a strong direct control statement. However, it does not define required coverage, telemetry forwarding, tamper protection, or containment expectations.</t>
  </si>
  <si>
    <t>1. Require EDR on all managed endpoints.  2. Require telemetry forwarding and tamper protection.</t>
  </si>
  <si>
    <t>“All managed endpoints shall run the approved EDR agent with tamper protection enabled and security telemetry forwarded to the central monitoring platform.”</t>
  </si>
  <si>
    <t>Endpoint Protection Standard.pdf • p6: “Removable media shall be protected, and its use shall be restricted.” and “not allow auto-execution from removable media.”</t>
  </si>
  <si>
    <t>The current language establishes a restrictive posture toward removable media and prohibits auto-execution. It is important baseline protection, but does not explicitly say whether removable media is blocked by default, how exceptions work, or what monitoring applies.</t>
  </si>
  <si>
    <t>1. Define default-deny use of removable media.  2. Require encryption and monitoring for approved exceptions.</t>
  </si>
  <si>
    <t>“Use of removable media shall be blocked by default unless an approved business exception exists and the media is encrypted and monitored.”</t>
  </si>
  <si>
    <t>Business Continuity and Technology Resiliency Standard.pdf • p.8 • L1–L2: “security incident response (IR) plans shall be subject to testing…”</t>
  </si>
  <si>
    <t>The current language confirms that incident response plans must exist and be tested. That is a necessary baseline, but a gold-standard incident response standard would define required playbooks, severity levels, communication paths, and lessons-learned requirements more explicitly.</t>
  </si>
  <si>
    <t>1. Define required incident response playbooks and exercise cadence.  2. Require lessons learned and tracked remediation after incidents and tests.</t>
  </si>
  <si>
    <t>“Incident response plans and required playbooks shall be tested at defined intervals, with lessons learned documented and remediation actions tracked to closure.”</t>
  </si>
  <si>
    <t>Logs Ingested into SOC / SIEM</t>
  </si>
  <si>
    <t>Third Party Security Standard.pdf • p.7: “Integrate logs with SIEM”; Third Party Security Standard.pdf • p.14: “Logs… ingested by… SIEM… for correlation”</t>
  </si>
  <si>
    <t>The current language clearly expects log integration with the SIEM and ties that logging to monitoring value. It is a strong starting point, but does not define mandatory log sources, normalized fields, retention, or alerting standards.</t>
  </si>
  <si>
    <t>1. Define critical log sources that must be ingested.  2. Define required fields, retention, and timeliness standards.</t>
  </si>
  <si>
    <t>“Defined critical log sources shall be forwarded to the approved SIEM in near real time using required normalized fields and approved retention standards.”</t>
  </si>
  <si>
    <t>Acceptable Use Policy.pdf • p.10 L1–L3: third parties must return information assets when relationship ends; Identity and Access Management Standard.pdf • p9: third-party accounts disabled when no longer needed</t>
  </si>
  <si>
    <t>The current language makes clear that third-party assets and access must be removed when the relationship ends. That is a necessary lifecycle control, but the broader third-party lifecycle still needs more explicit structure around onboarding, reassessment, and evidence requirements.</t>
  </si>
  <si>
    <t>1. Define third-party lifecycle stages from onboarding through termination.  2. Require access revocation plus data return or destruction at offboarding.</t>
  </si>
  <si>
    <t>“Third parties shall complete onboarding, periodic reassessment, and termination controls, including access revocation and data return or destruction requirements.”</t>
  </si>
  <si>
    <t>Third Party Security Standard.pdf • p.27: “Include contractual flow-down clauses…”; Encryption and Key Management Standard.pdf • p9: “contractual enforcement of encryption obligations by the third party.”</t>
  </si>
  <si>
    <t>The current language clearly establishes that security obligations must be carried into contract language, including encryption obligations. This is strong baseline contract language, but it would be more effective if the documentation defined a minimum clause library and when each clause is mandatory.</t>
  </si>
  <si>
    <t>1. Define mandatory security clauses for third-party contracts.  2. Require clauses based on service type and risk.</t>
  </si>
  <si>
    <t>“All third-party contracts shall include required security clauses covering breach notification, audit rights, subcontractor controls, encryption, logging access, and data handling obligations.”</t>
  </si>
  <si>
    <t>Asset Standard.pdf • p.5 • L1–L2: “assets… shall be classified and labeled…”; Third Party Security Standard.pdf • p.11: “Implement a formal data classification process…”</t>
  </si>
  <si>
    <t>The current language clearly requires classification and labeling and recognizes classification as a formal process. It is a good foundation, but would be stronger if it consolidated classification with the specific handling controls each classification triggers.</t>
  </si>
  <si>
    <t>1. Define a single enterprise classification model.  2. Tie each classification to required handling controls.</t>
  </si>
  <si>
    <t>“All information assets shall be classified and handled according to the approved control requirements for that classification, including storage, sharing, encryption, retention, and AI use restrictions where applicable.”</t>
  </si>
  <si>
    <t>Third Party Security Standard.pdf • p.12: “Records Retention Schedules…” and “Once… expires… deleted or disposed of…”; Asset Standard.pdf • p.3 • L1–L3: “lifecycle controls (including data retention requirements)”</t>
  </si>
  <si>
    <t>The current language clearly recognizes retention schedules and disposal at the end of retention periods. It is a strong baseline, but does not yet fully define legal hold interaction, secure destruction methods, and evidence expectations.</t>
  </si>
  <si>
    <t>1. Define approved disposal methods and legal hold handling.  2. Require evidence of deletion or destruction.</t>
  </si>
  <si>
    <t>“Data shall be retained in accordance with approved retention schedules and securely deleted or destroyed when retention obligations expire, unless subject to legal hold.”</t>
  </si>
  <si>
    <t>Business Continuity and Technology Resiliency Standard.pdf • p.8 • L1–L2: “Data integrity shall be tested on backup media… performing a data restoration process…”; Cloud &amp; Hosting Security Standard • p15: “Backup and recovery measures shall be tested quarterly”</t>
  </si>
  <si>
    <t>The current language already provides a relatively mature requirement by requiring restoration testing and a quarterly cadence. The remaining opportunity is to make testing more outcome-based by defining recovery objectives, success criteria, and evidence retention.</t>
  </si>
  <si>
    <t>1. Define recovery objectives and success criteria for restoration testing.  2. Require evidence retention and remediation tracking.</t>
  </si>
  <si>
    <t>“Backup restorations shall be tested at least quarterly against defined recovery objectives, and test evidence and remediation actions shall be retained.”</t>
  </si>
  <si>
    <t>Acceptable Use Policy.pdf • p.5 • L1–L3: “emailed outside… in accordance with… appropriate encryption.”</t>
  </si>
  <si>
    <t>The current language directly addresses encryption for externally emailed information, which is useful but narrow. It does not yet function as a comprehensive enterprise encryption standard for data at rest and in transit across platforms and storage locations.</t>
  </si>
  <si>
    <t>1. Define encryption requirements for data at rest and in transit.  2. Define approved cryptographic standards and key management expectations.</t>
  </si>
  <si>
    <t>“Sensitive data shall be encrypted at rest and in transit using approved enterprise cryptographic standards and managed keys.”</t>
  </si>
  <si>
    <t>Scoring Criteria</t>
  </si>
  <si>
    <t>A 0-3 maturity scale applied to each technology and process. "In place" is read differently for a tool than for a process, so each level includes both.</t>
  </si>
  <si>
    <t>Score</t>
  </si>
  <si>
    <t>Level</t>
  </si>
  <si>
    <t>Definition</t>
  </si>
  <si>
    <t>Not in place</t>
  </si>
  <si>
    <t>The capability or process does not exist, or exists in name only with no working implementation. No evidence of operation, coverage, or ownership.</t>
  </si>
  <si>
    <t>Tooling is absent, not deployed, or deployed but not functional or not in use.</t>
  </si>
  <si>
    <t>No defined or repeatable process exists. Activity is absent or purely ad hoc.</t>
  </si>
  <si>
    <t>Partially in place</t>
  </si>
  <si>
    <t>Exists but is incomplete. Coverage is limited, implementation is inconsistent, or material gaps remain. It works in places but cannot be relied on across the market.</t>
  </si>
  <si>
    <t>Deployed to only part of the environment, partially configured, or not consistently enforced.</t>
  </si>
  <si>
    <t>Defined but informal, undocumented, or followed inconsistently.</t>
  </si>
  <si>
    <t>Passable</t>
  </si>
  <si>
    <t>Implemented and operating across most of the environment, meets baseline expectations, and is reasonably consistent. Dependable but not fully mature. Documentation, enforcement, or edge-case coverage can still improve.</t>
  </si>
  <si>
    <t>Covers most in-scope assets, appropriately configured and enforced, with only minor gaps.</t>
  </si>
  <si>
    <t>Documented and followed consistently with clear ownership, though cadence, metrics, or exception handling may not be fully formalized.</t>
  </si>
  <si>
    <t>Strong</t>
  </si>
  <si>
    <t>Comprehensively implemented, consistently enforced, documented, governed, and monitored. Coverage is complete across the in-scope environment and aligns to leading practice. Remaining gaps are minor and actively managed.</t>
  </si>
  <si>
    <t>Fully covers the in-scope environment, hardened and well configured, enforced, monitored, and integrated into security operations.</t>
  </si>
  <si>
    <t>Formally documented, consistently executed, owned, measured against defined metrics or SLAs, and reviewed on a set cadence.</t>
  </si>
  <si>
    <t>Market Scoring</t>
  </si>
  <si>
    <t>Score each technology / process 0-3. Definitions are on the Scoring Criteria tab. Total possible is 3 per item. Grey "Additional Information" rows capture domain-level notes and are not scored.</t>
  </si>
  <si>
    <t>Control</t>
  </si>
  <si>
    <t>Tech / Process</t>
  </si>
  <si>
    <t>Score (0-3)</t>
  </si>
  <si>
    <t>Total Possible</t>
  </si>
  <si>
    <t>Strengths</t>
  </si>
  <si>
    <t>Gaps</t>
  </si>
  <si>
    <t>Recommendations</t>
  </si>
  <si>
    <t>Additional Information</t>
  </si>
  <si>
    <t>Score Rollup</t>
  </si>
  <si>
    <t>Points achieved vs possible by domain. Achieved pulls live from the Scoring tab.</t>
  </si>
  <si>
    <t>Items</t>
  </si>
  <si>
    <t>Achieved</t>
  </si>
  <si>
    <t>Possible</t>
  </si>
  <si>
    <t>%</t>
  </si>
  <si>
    <t>Total</t>
  </si>
  <si>
    <t>*If a Domain or subdomain is N/A to the market, the denominator will be reduced to reflect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</si>
</sst>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charset val="1"/>
    </font>
    <font>
      <b/>
      <sz val="11"/>
      <color theme="1"/>
      <name val="Aptos Narrow"/>
      <family val="2"/>
      <charset val="1"/>
    </font>
    <font>
      <b/>
      <sz val="11"/>
      <color theme="4"/>
      <name val="Aptos Narrow"/>
      <family val="2"/>
      <charset val="1"/>
    </font>
    <font>
      <b/>
      <sz val="11"/>
      <color rgb="FF00B050"/>
      <name val="Aptos Narrow"/>
      <family val="2"/>
      <charset val="1"/>
    </font>
    <font>
      <b/>
      <sz val="11"/>
      <color rgb="FF156082"/>
      <name val="Aptos Narrow"/>
      <family val="2"/>
      <charset val="1"/>
    </font>
    <font>
      <b/>
      <sz val="11"/>
      <color theme="9"/>
      <name val="Aptos Narrow"/>
      <family val="2"/>
      <charset val="1"/>
    </font>
    <font>
      <b/>
      <sz val="18"/>
      <color theme="1"/>
      <name val="Aptos Narrow"/>
      <family val="2"/>
      <charset val="1"/>
    </font>
    <font>
      <sz val="11"/>
      <color rgb="FF000000"/>
      <name val="Aptos Narrow"/>
      <family val="2"/>
      <charset val="1"/>
    </font>
    <font>
      <sz val="10"/>
      <name val="Arial"/>
      <family val="2"/>
    </font>
    <font>
      <b/>
      <sz val="11"/>
      <color rgb="FF000000"/>
      <name val="Aptos Narrow"/>
      <family val="2"/>
      <charset val="1"/>
    </font>
    <font>
      <b/>
      <sz val="13.5"/>
      <color theme="1"/>
      <name val="Aptos Narrow"/>
      <family val="2"/>
      <charset val="1"/>
    </font>
    <font>
      <u/>
      <sz val="11"/>
      <color theme="10"/>
      <name val="Aptos Narrow"/>
      <family val="2"/>
      <charset val="1"/>
    </font>
    <font>
      <b/>
      <sz val="16"/>
      <name val="Aptos Narrow"/>
      <charset val="1"/>
    </font>
    <font>
      <i/>
      <sz val="11"/>
      <color rgb="FF595959"/>
      <name val="Aptos Narrow"/>
      <charset val="1"/>
    </font>
    <font>
      <b/>
      <sz val="11"/>
      <name val="Aptos Narrow"/>
      <charset val="1"/>
    </font>
    <font>
      <b/>
      <sz val="18"/>
      <color rgb="FF791F1F"/>
      <name val="Aptos Narrow"/>
      <charset val="1"/>
    </font>
    <font>
      <b/>
      <sz val="11"/>
      <color rgb="FF791F1F"/>
      <name val="Aptos Narrow"/>
      <charset val="1"/>
    </font>
    <font>
      <sz val="11"/>
      <name val="Aptos Narrow"/>
      <charset val="1"/>
    </font>
    <font>
      <b/>
      <sz val="18"/>
      <color rgb="FF633806"/>
      <name val="Aptos Narrow"/>
      <charset val="1"/>
    </font>
    <font>
      <b/>
      <sz val="11"/>
      <color rgb="FF633806"/>
      <name val="Aptos Narrow"/>
      <charset val="1"/>
    </font>
    <font>
      <b/>
      <sz val="18"/>
      <color rgb="FF0C447C"/>
      <name val="Aptos Narrow"/>
      <charset val="1"/>
    </font>
    <font>
      <b/>
      <sz val="11"/>
      <color rgb="FF0C447C"/>
      <name val="Aptos Narrow"/>
      <charset val="1"/>
    </font>
    <font>
      <b/>
      <sz val="18"/>
      <color rgb="FF27500A"/>
      <name val="Aptos Narrow"/>
      <charset val="1"/>
    </font>
    <font>
      <b/>
      <sz val="11"/>
      <color rgb="FF27500A"/>
      <name val="Aptos Narrow"/>
      <charset val="1"/>
    </font>
    <font>
      <i/>
      <sz val="11"/>
      <name val="Aptos Narrow"/>
      <charset val="1"/>
    </font>
  </fonts>
  <fills count="14">
    <fill>
      <patternFill patternType="none"/>
    </fill>
    <fill>
      <patternFill patternType="gray125"/>
    </fill>
    <fill>
      <patternFill patternType="solid">
        <fgColor theme="0" tint="-0.14999847407452621"/>
        <bgColor rgb="FFDCEAF7"/>
      </patternFill>
    </fill>
    <fill>
      <patternFill patternType="solid">
        <fgColor theme="0"/>
        <bgColor rgb="FFF2F2F2"/>
      </patternFill>
    </fill>
    <fill>
      <patternFill patternType="solid">
        <fgColor theme="0" tint="-0.249977111117893"/>
        <bgColor rgb="FFD9D9D9"/>
      </patternFill>
    </fill>
    <fill>
      <patternFill patternType="solid">
        <fgColor theme="9" tint="0.79989013336588644"/>
        <bgColor rgb="FFEAF3DE"/>
      </patternFill>
    </fill>
    <fill>
      <patternFill patternType="solid">
        <fgColor theme="6" tint="0.79989013336588644"/>
        <bgColor rgb="FFD9F2D0"/>
      </patternFill>
    </fill>
    <fill>
      <patternFill patternType="solid">
        <fgColor theme="3" tint="0.89989928891872917"/>
        <bgColor rgb="FFE6F1FB"/>
      </patternFill>
    </fill>
    <fill>
      <patternFill patternType="solid">
        <fgColor rgb="FFFFFF00"/>
        <bgColor rgb="FFFFFF00"/>
      </patternFill>
    </fill>
    <fill>
      <patternFill patternType="solid">
        <fgColor rgb="FFFCEBEB"/>
        <bgColor rgb="FFFAEEDA"/>
      </patternFill>
    </fill>
    <fill>
      <patternFill patternType="solid">
        <fgColor rgb="FFFAEEDA"/>
        <bgColor rgb="FFFCEBEB"/>
      </patternFill>
    </fill>
    <fill>
      <patternFill patternType="solid">
        <fgColor rgb="FFE6F1FB"/>
        <bgColor rgb="FFF2F2F2"/>
      </patternFill>
    </fill>
    <fill>
      <patternFill patternType="solid">
        <fgColor rgb="FFEAF3DE"/>
        <bgColor rgb="FFF2F2F2"/>
      </patternFill>
    </fill>
    <fill>
      <patternFill patternType="solid">
        <fgColor rgb="FFF2F2F2"/>
        <bgColor rgb="FFE6F1FB"/>
      </patternFill>
    </fill>
  </fills>
  <borders count="18">
    <border>
      <left/>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1">
    <xf numFmtId="0" fontId="0" fillId="0" borderId="0" xfId="0"/>
    <xf numFmtId="0" fontId="7" fillId="0" borderId="3"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horizontal="left" vertical="center"/>
    </xf>
    <xf numFmtId="0" fontId="1" fillId="3" borderId="2" xfId="0" applyFont="1" applyFill="1" applyBorder="1" applyAlignment="1">
      <alignment horizontal="center" vertical="center"/>
    </xf>
    <xf numFmtId="0" fontId="0" fillId="0" borderId="3" xfId="0" applyBorder="1"/>
    <xf numFmtId="0" fontId="2" fillId="0" borderId="3" xfId="0" applyFont="1" applyBorder="1" applyAlignment="1">
      <alignment horizontal="left" vertical="center"/>
    </xf>
    <xf numFmtId="0" fontId="3" fillId="0" borderId="4" xfId="0" applyFont="1" applyBorder="1" applyAlignment="1">
      <alignment horizontal="left" vertical="center"/>
    </xf>
    <xf numFmtId="0" fontId="4" fillId="0" borderId="3" xfId="0" applyFont="1" applyBorder="1" applyAlignment="1">
      <alignment horizontal="left" vertical="center"/>
    </xf>
    <xf numFmtId="0" fontId="5" fillId="0" borderId="4" xfId="0" applyFont="1" applyBorder="1" applyAlignment="1">
      <alignment horizontal="left" vertical="center"/>
    </xf>
    <xf numFmtId="0" fontId="1" fillId="3" borderId="5" xfId="0" applyFont="1" applyFill="1" applyBorder="1" applyAlignment="1">
      <alignment horizontal="center" vertical="center"/>
    </xf>
    <xf numFmtId="0" fontId="0" fillId="0" borderId="6" xfId="0" applyBorder="1"/>
    <xf numFmtId="0" fontId="2" fillId="0" borderId="6" xfId="0" applyFont="1" applyBorder="1" applyAlignment="1">
      <alignment horizontal="left" vertical="center"/>
    </xf>
    <xf numFmtId="0" fontId="3" fillId="0" borderId="7" xfId="0" applyFont="1" applyBorder="1" applyAlignment="1">
      <alignment horizontal="left" vertical="center"/>
    </xf>
    <xf numFmtId="0" fontId="1" fillId="4" borderId="1" xfId="0" applyFont="1" applyFill="1" applyBorder="1"/>
    <xf numFmtId="0" fontId="1" fillId="4" borderId="8" xfId="0" applyFont="1" applyFill="1" applyBorder="1"/>
    <xf numFmtId="0" fontId="1" fillId="4" borderId="9" xfId="0" applyFont="1" applyFill="1" applyBorder="1"/>
    <xf numFmtId="0" fontId="0" fillId="5" borderId="4" xfId="0" applyFill="1" applyBorder="1"/>
    <xf numFmtId="0" fontId="0" fillId="0" borderId="4" xfId="0" applyBorder="1"/>
    <xf numFmtId="0" fontId="1" fillId="0" borderId="0" xfId="0" applyFont="1"/>
    <xf numFmtId="0" fontId="0" fillId="0" borderId="0" xfId="0" applyAlignment="1">
      <alignment wrapText="1"/>
    </xf>
    <xf numFmtId="0" fontId="2" fillId="0" borderId="3" xfId="0" applyFont="1" applyBorder="1" applyAlignment="1">
      <alignment horizontal="center"/>
    </xf>
    <xf numFmtId="0" fontId="3" fillId="0" borderId="3" xfId="0" applyFont="1" applyBorder="1" applyAlignment="1">
      <alignment horizontal="center"/>
    </xf>
    <xf numFmtId="0" fontId="1" fillId="2" borderId="3" xfId="0" applyFont="1" applyFill="1" applyBorder="1" applyAlignment="1">
      <alignment horizontal="center" vertical="center" wrapText="1"/>
    </xf>
    <xf numFmtId="0" fontId="1" fillId="6" borderId="0" xfId="0" applyFont="1" applyFill="1" applyAlignment="1">
      <alignment horizontal="center" vertical="center"/>
    </xf>
    <xf numFmtId="0" fontId="1" fillId="7"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1" fillId="6" borderId="3" xfId="0" applyFont="1" applyFill="1" applyBorder="1" applyAlignment="1">
      <alignment horizontal="center" vertical="center" wrapText="1"/>
    </xf>
    <xf numFmtId="0" fontId="1" fillId="2" borderId="3" xfId="0" applyFont="1" applyFill="1" applyBorder="1" applyAlignment="1">
      <alignment horizontal="center" vertical="center"/>
    </xf>
    <xf numFmtId="0" fontId="0" fillId="0" borderId="10" xfId="0" applyBorder="1" applyAlignment="1">
      <alignment horizontal="center" vertical="center" wrapText="1"/>
    </xf>
    <xf numFmtId="0" fontId="1" fillId="6" borderId="11" xfId="0" applyFont="1" applyFill="1" applyBorder="1" applyAlignment="1">
      <alignment horizontal="center" vertical="center" wrapText="1"/>
    </xf>
    <xf numFmtId="0" fontId="1" fillId="0" borderId="11" xfId="0" applyFont="1" applyBorder="1" applyAlignment="1">
      <alignment horizontal="center" vertical="center" wrapText="1"/>
    </xf>
    <xf numFmtId="0" fontId="0" fillId="0" borderId="11" xfId="0" applyBorder="1" applyAlignment="1">
      <alignment horizontal="center" vertical="center" wrapText="1"/>
    </xf>
    <xf numFmtId="0" fontId="9" fillId="0" borderId="11" xfId="0" applyFont="1" applyBorder="1" applyAlignment="1">
      <alignment vertical="center" wrapText="1"/>
    </xf>
    <xf numFmtId="0" fontId="9" fillId="0" borderId="12" xfId="0" applyFont="1" applyBorder="1" applyAlignment="1">
      <alignment vertical="center" wrapText="1"/>
    </xf>
    <xf numFmtId="0" fontId="0" fillId="0" borderId="12" xfId="0" applyBorder="1" applyAlignment="1">
      <alignment horizontal="center" vertical="center" wrapText="1"/>
    </xf>
    <xf numFmtId="0" fontId="1" fillId="0" borderId="12" xfId="0" applyFont="1" applyBorder="1" applyAlignment="1">
      <alignment horizontal="center" vertical="center" wrapText="1"/>
    </xf>
    <xf numFmtId="0" fontId="2" fillId="0" borderId="3" xfId="0" applyFont="1" applyBorder="1" applyAlignment="1">
      <alignment horizontal="center" vertical="center"/>
    </xf>
    <xf numFmtId="0" fontId="3" fillId="0" borderId="3" xfId="0" applyFont="1" applyBorder="1" applyAlignment="1">
      <alignment horizontal="center" vertical="center"/>
    </xf>
    <xf numFmtId="0" fontId="1" fillId="0" borderId="0" xfId="0" applyFont="1" applyAlignment="1">
      <alignment horizontal="center" vertical="center" wrapText="1"/>
    </xf>
    <xf numFmtId="0" fontId="4" fillId="0" borderId="3" xfId="0" applyFont="1" applyBorder="1" applyAlignment="1">
      <alignment horizontal="center" vertical="center"/>
    </xf>
    <xf numFmtId="0" fontId="5" fillId="0" borderId="3" xfId="0" applyFont="1" applyBorder="1" applyAlignment="1">
      <alignment horizontal="center" vertical="center"/>
    </xf>
    <xf numFmtId="0" fontId="1" fillId="5" borderId="3" xfId="0" applyFont="1" applyFill="1" applyBorder="1" applyAlignment="1">
      <alignment horizontal="center" vertical="center" wrapText="1"/>
    </xf>
    <xf numFmtId="0" fontId="0" fillId="3" borderId="3" xfId="0" applyFill="1" applyBorder="1" applyAlignment="1">
      <alignment horizontal="center" vertical="center" wrapText="1"/>
    </xf>
    <xf numFmtId="0" fontId="2" fillId="0" borderId="14" xfId="0" applyFont="1" applyBorder="1" applyAlignment="1">
      <alignment horizontal="center" vertical="center"/>
    </xf>
    <xf numFmtId="0" fontId="3" fillId="0" borderId="15" xfId="0" applyFont="1" applyBorder="1" applyAlignment="1">
      <alignment horizontal="center" vertical="center"/>
    </xf>
    <xf numFmtId="0" fontId="1" fillId="7" borderId="3" xfId="0" applyFont="1" applyFill="1" applyBorder="1" applyAlignment="1">
      <alignment horizontal="center" vertical="center"/>
    </xf>
    <xf numFmtId="0" fontId="1" fillId="0" borderId="3" xfId="0" applyFont="1" applyBorder="1" applyAlignment="1">
      <alignment horizontal="center" vertical="center"/>
    </xf>
    <xf numFmtId="0" fontId="0" fillId="0" borderId="3" xfId="0" applyBorder="1" applyAlignment="1">
      <alignment horizontal="center" vertical="center"/>
    </xf>
    <xf numFmtId="0" fontId="1" fillId="8" borderId="3" xfId="0" applyFont="1" applyFill="1" applyBorder="1" applyAlignment="1">
      <alignment horizontal="center" vertical="center" wrapText="1"/>
    </xf>
    <xf numFmtId="0" fontId="0" fillId="8" borderId="3" xfId="0" applyFill="1" applyBorder="1" applyAlignment="1">
      <alignment horizontal="center" vertical="center" wrapText="1"/>
    </xf>
    <xf numFmtId="0" fontId="0" fillId="8" borderId="3" xfId="0" applyFill="1" applyBorder="1" applyAlignment="1">
      <alignment horizontal="center" vertical="center"/>
    </xf>
    <xf numFmtId="0" fontId="1" fillId="6"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2" borderId="16" xfId="0" applyFont="1" applyFill="1" applyBorder="1" applyAlignment="1">
      <alignment horizontal="center" vertical="center"/>
    </xf>
    <xf numFmtId="0" fontId="1" fillId="3" borderId="3" xfId="0" applyFont="1" applyFill="1" applyBorder="1" applyAlignment="1">
      <alignment horizontal="center" vertical="center"/>
    </xf>
    <xf numFmtId="0" fontId="0" fillId="3" borderId="3" xfId="0" applyFill="1" applyBorder="1" applyAlignment="1">
      <alignment horizontal="center" vertical="center"/>
    </xf>
    <xf numFmtId="0" fontId="11" fillId="0" borderId="0" xfId="0" applyFont="1"/>
    <xf numFmtId="0" fontId="0" fillId="0" borderId="0" xfId="0" applyAlignment="1">
      <alignment readingOrder="1"/>
    </xf>
    <xf numFmtId="0" fontId="12" fillId="0" borderId="0" xfId="0" applyFont="1"/>
    <xf numFmtId="0" fontId="13" fillId="0" borderId="0" xfId="0" applyFont="1"/>
    <xf numFmtId="0" fontId="14" fillId="2" borderId="17" xfId="0" applyFont="1" applyFill="1" applyBorder="1" applyAlignment="1">
      <alignment horizontal="center" vertical="center"/>
    </xf>
    <xf numFmtId="0" fontId="15" fillId="9" borderId="17" xfId="0" applyFont="1" applyFill="1" applyBorder="1" applyAlignment="1">
      <alignment horizontal="center" vertical="center"/>
    </xf>
    <xf numFmtId="0" fontId="16" fillId="0" borderId="17" xfId="0" applyFont="1" applyBorder="1" applyAlignment="1">
      <alignment vertical="center" wrapText="1"/>
    </xf>
    <xf numFmtId="0" fontId="17" fillId="0" borderId="17" xfId="0" applyFont="1" applyBorder="1" applyAlignment="1">
      <alignment vertical="top" wrapText="1"/>
    </xf>
    <xf numFmtId="0" fontId="18" fillId="10" borderId="17" xfId="0" applyFont="1" applyFill="1" applyBorder="1" applyAlignment="1">
      <alignment horizontal="center" vertical="center"/>
    </xf>
    <xf numFmtId="0" fontId="19" fillId="0" borderId="17" xfId="0" applyFont="1" applyBorder="1" applyAlignment="1">
      <alignment vertical="center" wrapText="1"/>
    </xf>
    <xf numFmtId="0" fontId="20" fillId="11" borderId="17" xfId="0" applyFont="1" applyFill="1" applyBorder="1" applyAlignment="1">
      <alignment horizontal="center" vertical="center"/>
    </xf>
    <xf numFmtId="0" fontId="21" fillId="0" borderId="17" xfId="0" applyFont="1" applyBorder="1" applyAlignment="1">
      <alignment vertical="center" wrapText="1"/>
    </xf>
    <xf numFmtId="0" fontId="22" fillId="12" borderId="17" xfId="0" applyFont="1" applyFill="1" applyBorder="1" applyAlignment="1">
      <alignment horizontal="center" vertical="center"/>
    </xf>
    <xf numFmtId="0" fontId="23" fillId="0" borderId="17" xfId="0" applyFont="1" applyBorder="1" applyAlignment="1">
      <alignment vertical="center" wrapText="1"/>
    </xf>
    <xf numFmtId="0" fontId="14" fillId="2" borderId="17" xfId="0" applyFont="1" applyFill="1" applyBorder="1" applyAlignment="1">
      <alignment horizontal="center" vertical="center" wrapText="1"/>
    </xf>
    <xf numFmtId="0" fontId="17" fillId="0" borderId="17" xfId="0" applyFont="1" applyBorder="1" applyAlignment="1">
      <alignment horizontal="center" vertical="center" wrapText="1"/>
    </xf>
    <xf numFmtId="0" fontId="17" fillId="13" borderId="17" xfId="0" applyFont="1" applyFill="1" applyBorder="1" applyAlignment="1">
      <alignment horizontal="center" vertical="center" wrapText="1"/>
    </xf>
    <xf numFmtId="0" fontId="24" fillId="13" borderId="17" xfId="0" applyFont="1" applyFill="1" applyBorder="1" applyAlignment="1">
      <alignment vertical="top" wrapText="1"/>
    </xf>
    <xf numFmtId="0" fontId="17" fillId="13" borderId="17" xfId="0" applyFont="1" applyFill="1" applyBorder="1" applyAlignment="1">
      <alignment vertical="top" wrapText="1"/>
    </xf>
    <xf numFmtId="0" fontId="17" fillId="0" borderId="17" xfId="0" applyFont="1" applyBorder="1" applyAlignment="1">
      <alignment vertical="center"/>
    </xf>
    <xf numFmtId="0" fontId="17" fillId="0" borderId="17" xfId="0" applyFont="1" applyBorder="1" applyAlignment="1">
      <alignment horizontal="center" vertical="center"/>
    </xf>
    <xf numFmtId="9" fontId="17" fillId="0" borderId="17" xfId="0" applyNumberFormat="1" applyFont="1" applyBorder="1" applyAlignment="1">
      <alignment horizontal="center" vertical="center"/>
    </xf>
    <xf numFmtId="0" fontId="14" fillId="2" borderId="17" xfId="0" applyFont="1" applyFill="1" applyBorder="1" applyAlignment="1">
      <alignment vertical="center"/>
    </xf>
    <xf numFmtId="9" fontId="14" fillId="2" borderId="17"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6" fillId="0" borderId="3" xfId="0" applyFont="1" applyBorder="1" applyAlignment="1">
      <alignment horizontal="center"/>
    </xf>
    <xf numFmtId="0" fontId="7" fillId="0" borderId="3" xfId="0" applyFont="1" applyBorder="1" applyAlignment="1">
      <alignment horizontal="center" vertical="center" wrapText="1"/>
    </xf>
    <xf numFmtId="0" fontId="9" fillId="0" borderId="3" xfId="0" applyFont="1" applyBorder="1" applyAlignment="1">
      <alignment horizontal="center" vertical="center" wrapText="1"/>
    </xf>
    <xf numFmtId="0" fontId="6" fillId="0" borderId="3" xfId="0" applyFont="1" applyBorder="1" applyAlignment="1">
      <alignment horizontal="center" vertical="center"/>
    </xf>
    <xf numFmtId="0" fontId="6" fillId="0" borderId="13" xfId="0" applyFont="1" applyBorder="1" applyAlignment="1">
      <alignment horizontal="center"/>
    </xf>
    <xf numFmtId="0" fontId="10"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595959"/>
      <rgbColor rgb="FF9999FF"/>
      <rgbColor rgb="FF993366"/>
      <rgbColor rgb="FFFAEEDA"/>
      <rgbColor rgb="FFE6F1FB"/>
      <rgbColor rgb="FF660066"/>
      <rgbColor rgb="FFFF8080"/>
      <rgbColor rgb="FF0066CC"/>
      <rgbColor rgb="FFD9D9D9"/>
      <rgbColor rgb="FF000080"/>
      <rgbColor rgb="FFFF00FF"/>
      <rgbColor rgb="FFFFFF00"/>
      <rgbColor rgb="FF00FFFF"/>
      <rgbColor rgb="FF800080"/>
      <rgbColor rgb="FF800000"/>
      <rgbColor rgb="FF00B050"/>
      <rgbColor rgb="FF0000FF"/>
      <rgbColor rgb="FF00CCFF"/>
      <rgbColor rgb="FFDCEAF7"/>
      <rgbColor rgb="FFC2F1C8"/>
      <rgbColor rgb="FFEAF3DE"/>
      <rgbColor rgb="FFD9F2D0"/>
      <rgbColor rgb="FFF2F2F2"/>
      <rgbColor rgb="FFCC99FF"/>
      <rgbColor rgb="FFFCEBEB"/>
      <rgbColor rgb="FF3366FF"/>
      <rgbColor rgb="FF33CCCC"/>
      <rgbColor rgb="FF99CC00"/>
      <rgbColor rgb="FFFFCC00"/>
      <rgbColor rgb="FFFF9900"/>
      <rgbColor rgb="FFFF6600"/>
      <rgbColor rgb="FF467886"/>
      <rgbColor rgb="FF969696"/>
      <rgbColor rgb="FF0C447C"/>
      <rgbColor rgb="FF4EA72E"/>
      <rgbColor rgb="FF003300"/>
      <rgbColor rgb="FF27500A"/>
      <rgbColor rgb="FF791F1F"/>
      <rgbColor rgb="FF993366"/>
      <rgbColor rgb="FF333399"/>
      <rgbColor rgb="FF63380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hyperlink" Target="mailto:incident@us.mc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12"/>
  <sheetViews>
    <sheetView zoomScaleNormal="100" workbookViewId="0">
      <selection activeCell="G7" sqref="G7"/>
    </sheetView>
  </sheetViews>
  <sheetFormatPr defaultColWidth="8.81640625" defaultRowHeight="14.5" x14ac:dyDescent="0.35"/>
  <cols>
    <col min="1" max="1" width="4.453125" customWidth="1"/>
    <col min="2" max="2" width="32.1796875" customWidth="1"/>
    <col min="3" max="3" width="56.7265625" customWidth="1"/>
    <col min="4" max="4" width="14.26953125" style="3" customWidth="1"/>
    <col min="5" max="5" width="11.54296875" style="3" customWidth="1"/>
  </cols>
  <sheetData>
    <row r="1" spans="2:5" ht="15" customHeight="1" x14ac:dyDescent="0.35"/>
    <row r="2" spans="2:5" ht="14.25" customHeight="1" x14ac:dyDescent="0.35">
      <c r="B2" s="2" t="s">
        <v>0</v>
      </c>
      <c r="C2" s="2" t="s">
        <v>1</v>
      </c>
      <c r="D2" s="84" t="s">
        <v>2</v>
      </c>
      <c r="E2" s="84"/>
    </row>
    <row r="3" spans="2:5" ht="14.25" customHeight="1" x14ac:dyDescent="0.35">
      <c r="B3" s="4" t="s">
        <v>3</v>
      </c>
      <c r="C3" s="5" t="s">
        <v>4</v>
      </c>
      <c r="D3" s="6" t="s">
        <v>5</v>
      </c>
      <c r="E3" s="7" t="s">
        <v>6</v>
      </c>
    </row>
    <row r="4" spans="2:5" ht="14.25" customHeight="1" x14ac:dyDescent="0.35">
      <c r="B4" s="4" t="s">
        <v>7</v>
      </c>
      <c r="C4" s="5" t="s">
        <v>8</v>
      </c>
      <c r="D4" s="6" t="s">
        <v>9</v>
      </c>
      <c r="E4" s="7" t="s">
        <v>10</v>
      </c>
    </row>
    <row r="5" spans="2:5" ht="14.25" customHeight="1" x14ac:dyDescent="0.35">
      <c r="B5" s="4" t="s">
        <v>11</v>
      </c>
      <c r="C5" s="5" t="s">
        <v>12</v>
      </c>
      <c r="D5" s="6" t="s">
        <v>13</v>
      </c>
      <c r="E5" s="7" t="s">
        <v>14</v>
      </c>
    </row>
    <row r="6" spans="2:5" ht="14.25" customHeight="1" x14ac:dyDescent="0.35">
      <c r="B6" s="4" t="s">
        <v>15</v>
      </c>
      <c r="C6" s="5" t="s">
        <v>16</v>
      </c>
      <c r="D6" s="6" t="s">
        <v>17</v>
      </c>
      <c r="E6" s="7" t="s">
        <v>14</v>
      </c>
    </row>
    <row r="7" spans="2:5" ht="14.25" customHeight="1" x14ac:dyDescent="0.35">
      <c r="B7" s="4" t="s">
        <v>18</v>
      </c>
      <c r="C7" s="5"/>
      <c r="D7" s="8" t="s">
        <v>19</v>
      </c>
      <c r="E7" s="9" t="s">
        <v>20</v>
      </c>
    </row>
    <row r="8" spans="2:5" ht="14.25" customHeight="1" x14ac:dyDescent="0.35">
      <c r="B8" s="4" t="s">
        <v>21</v>
      </c>
      <c r="C8" s="5" t="s">
        <v>22</v>
      </c>
      <c r="D8" s="6" t="s">
        <v>23</v>
      </c>
      <c r="E8" s="7" t="s">
        <v>6</v>
      </c>
    </row>
    <row r="9" spans="2:5" ht="14.25" customHeight="1" x14ac:dyDescent="0.35">
      <c r="B9" s="4" t="s">
        <v>24</v>
      </c>
      <c r="C9" s="5" t="s">
        <v>25</v>
      </c>
      <c r="D9" s="6" t="s">
        <v>23</v>
      </c>
      <c r="E9" s="7" t="s">
        <v>6</v>
      </c>
    </row>
    <row r="10" spans="2:5" ht="14.25" customHeight="1" x14ac:dyDescent="0.35">
      <c r="B10" s="4" t="s">
        <v>26</v>
      </c>
      <c r="C10" s="5" t="s">
        <v>27</v>
      </c>
      <c r="D10" s="6" t="s">
        <v>28</v>
      </c>
      <c r="E10" s="7" t="s">
        <v>29</v>
      </c>
    </row>
    <row r="11" spans="2:5" ht="14.25" customHeight="1" x14ac:dyDescent="0.35">
      <c r="B11" s="4" t="s">
        <v>30</v>
      </c>
      <c r="C11" s="5" t="s">
        <v>31</v>
      </c>
      <c r="D11" s="6" t="s">
        <v>28</v>
      </c>
      <c r="E11" s="7" t="s">
        <v>29</v>
      </c>
    </row>
    <row r="12" spans="2:5" ht="15" customHeight="1" x14ac:dyDescent="0.35">
      <c r="B12" s="10" t="s">
        <v>32</v>
      </c>
      <c r="C12" s="11" t="s">
        <v>33</v>
      </c>
      <c r="D12" s="12" t="s">
        <v>34</v>
      </c>
      <c r="E12" s="13" t="s">
        <v>6</v>
      </c>
    </row>
  </sheetData>
  <mergeCells count="1">
    <mergeCell ref="D2:E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zoomScaleNormal="100" workbookViewId="0">
      <selection activeCell="B2" sqref="B2"/>
    </sheetView>
  </sheetViews>
  <sheetFormatPr defaultColWidth="8.54296875" defaultRowHeight="14.5" x14ac:dyDescent="0.35"/>
  <cols>
    <col min="1" max="1" width="20.1796875" customWidth="1"/>
    <col min="2" max="2" width="53.453125" customWidth="1"/>
    <col min="3" max="3" width="13.54296875" customWidth="1"/>
  </cols>
  <sheetData>
    <row r="1" spans="1:3" ht="14.25" customHeight="1" x14ac:dyDescent="0.35">
      <c r="A1" s="14" t="s">
        <v>0</v>
      </c>
      <c r="B1" s="15" t="s">
        <v>35</v>
      </c>
      <c r="C1" s="16" t="s">
        <v>36</v>
      </c>
    </row>
    <row r="2" spans="1:3" ht="14.25" customHeight="1" x14ac:dyDescent="0.35">
      <c r="A2" s="4" t="s">
        <v>3</v>
      </c>
      <c r="B2" s="5" t="s">
        <v>4</v>
      </c>
      <c r="C2" s="17" t="s">
        <v>37</v>
      </c>
    </row>
    <row r="3" spans="1:3" ht="14.25" customHeight="1" x14ac:dyDescent="0.35">
      <c r="A3" s="4" t="s">
        <v>7</v>
      </c>
      <c r="B3" s="5" t="s">
        <v>8</v>
      </c>
      <c r="C3" s="17" t="s">
        <v>37</v>
      </c>
    </row>
    <row r="4" spans="1:3" ht="14.25" customHeight="1" x14ac:dyDescent="0.35">
      <c r="A4" s="4" t="s">
        <v>11</v>
      </c>
      <c r="B4" s="5" t="s">
        <v>12</v>
      </c>
      <c r="C4" s="17" t="s">
        <v>37</v>
      </c>
    </row>
    <row r="5" spans="1:3" ht="14.25" customHeight="1" x14ac:dyDescent="0.35">
      <c r="A5" s="4" t="s">
        <v>15</v>
      </c>
      <c r="B5" s="5" t="s">
        <v>16</v>
      </c>
      <c r="C5" s="18" t="s">
        <v>38</v>
      </c>
    </row>
    <row r="6" spans="1:3" ht="14.25" customHeight="1" x14ac:dyDescent="0.35">
      <c r="A6" s="4" t="s">
        <v>21</v>
      </c>
      <c r="B6" s="5" t="s">
        <v>22</v>
      </c>
      <c r="C6" s="17" t="s">
        <v>37</v>
      </c>
    </row>
    <row r="7" spans="1:3" ht="14.25" customHeight="1" x14ac:dyDescent="0.35">
      <c r="A7" s="4" t="s">
        <v>24</v>
      </c>
      <c r="B7" s="5" t="s">
        <v>25</v>
      </c>
      <c r="C7" s="17" t="s">
        <v>37</v>
      </c>
    </row>
    <row r="8" spans="1:3" ht="14.25" customHeight="1" x14ac:dyDescent="0.35">
      <c r="A8" s="4" t="s">
        <v>26</v>
      </c>
      <c r="B8" s="5" t="s">
        <v>27</v>
      </c>
      <c r="C8" s="17" t="s">
        <v>37</v>
      </c>
    </row>
    <row r="9" spans="1:3" ht="14.25" customHeight="1" x14ac:dyDescent="0.35">
      <c r="A9" s="4" t="s">
        <v>30</v>
      </c>
      <c r="B9" s="5" t="s">
        <v>31</v>
      </c>
      <c r="C9" s="18" t="s">
        <v>38</v>
      </c>
    </row>
    <row r="10" spans="1:3" ht="15" customHeight="1" x14ac:dyDescent="0.35">
      <c r="A10" s="10" t="s">
        <v>32</v>
      </c>
      <c r="B10" s="11" t="s">
        <v>33</v>
      </c>
      <c r="C10" s="17" t="s">
        <v>37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16"/>
  <sheetViews>
    <sheetView topLeftCell="A4" zoomScale="70" zoomScaleNormal="70" workbookViewId="0">
      <selection activeCell="B4" sqref="B4"/>
    </sheetView>
  </sheetViews>
  <sheetFormatPr defaultColWidth="8.81640625" defaultRowHeight="14.5" x14ac:dyDescent="0.35"/>
  <cols>
    <col min="1" max="1" width="6.453125" customWidth="1"/>
    <col min="2" max="2" width="27.81640625" customWidth="1"/>
    <col min="3" max="3" width="30.453125" style="19" customWidth="1"/>
    <col min="4" max="4" width="45.1796875" customWidth="1"/>
    <col min="5" max="5" width="27.81640625" customWidth="1"/>
    <col min="6" max="6" width="42" hidden="1" customWidth="1"/>
    <col min="7" max="8" width="57.81640625" hidden="1" customWidth="1"/>
    <col min="9" max="9" width="59.54296875" hidden="1" customWidth="1"/>
    <col min="10" max="10" width="86.453125" style="20" hidden="1" customWidth="1"/>
    <col min="11" max="11" width="46" hidden="1" customWidth="1"/>
    <col min="12" max="12" width="21.453125" customWidth="1"/>
    <col min="13" max="13" width="23.1796875" customWidth="1"/>
  </cols>
  <sheetData>
    <row r="2" spans="2:13" ht="52.5" customHeight="1" x14ac:dyDescent="0.55000000000000004">
      <c r="B2" s="85" t="s">
        <v>3</v>
      </c>
      <c r="C2" s="85"/>
    </row>
    <row r="3" spans="2:13" ht="52.5" customHeight="1" x14ac:dyDescent="0.35">
      <c r="B3" s="21" t="s">
        <v>5</v>
      </c>
      <c r="C3" s="22" t="s">
        <v>6</v>
      </c>
    </row>
    <row r="4" spans="2:13" x14ac:dyDescent="0.35"/>
    <row r="5" spans="2:13" ht="52.5" customHeight="1" x14ac:dyDescent="0.35">
      <c r="B5" s="23" t="s">
        <v>39</v>
      </c>
      <c r="C5" s="23" t="s">
        <v>40</v>
      </c>
      <c r="D5" s="23" t="s">
        <v>41</v>
      </c>
      <c r="E5" s="23" t="s">
        <v>42</v>
      </c>
      <c r="F5" s="23" t="s">
        <v>43</v>
      </c>
      <c r="G5" s="23" t="s">
        <v>44</v>
      </c>
      <c r="H5" s="23" t="s">
        <v>45</v>
      </c>
      <c r="I5" s="23" t="s">
        <v>46</v>
      </c>
      <c r="J5" s="23" t="s">
        <v>47</v>
      </c>
      <c r="K5" s="24" t="s">
        <v>48</v>
      </c>
    </row>
    <row r="6" spans="2:13" ht="52.5" customHeight="1" x14ac:dyDescent="0.35">
      <c r="B6" s="25" t="s">
        <v>49</v>
      </c>
      <c r="C6" s="26" t="s">
        <v>50</v>
      </c>
      <c r="D6" s="27" t="s">
        <v>51</v>
      </c>
      <c r="E6" s="27" t="s">
        <v>52</v>
      </c>
      <c r="F6" s="27" t="s">
        <v>53</v>
      </c>
      <c r="G6" s="27" t="s">
        <v>54</v>
      </c>
      <c r="H6" s="27" t="s">
        <v>54</v>
      </c>
      <c r="I6" s="27" t="s">
        <v>55</v>
      </c>
      <c r="J6" s="86"/>
      <c r="K6" s="28"/>
    </row>
    <row r="7" spans="2:13" ht="52.5" customHeight="1" x14ac:dyDescent="0.35">
      <c r="B7" s="25" t="s">
        <v>49</v>
      </c>
      <c r="C7" s="26" t="s">
        <v>56</v>
      </c>
      <c r="D7" s="27" t="s">
        <v>57</v>
      </c>
      <c r="E7" s="27" t="s">
        <v>58</v>
      </c>
      <c r="F7" s="1" t="s">
        <v>59</v>
      </c>
      <c r="G7" s="27" t="s">
        <v>60</v>
      </c>
      <c r="H7" s="27"/>
      <c r="I7" s="27" t="s">
        <v>61</v>
      </c>
      <c r="J7" s="86"/>
      <c r="K7" s="29"/>
    </row>
    <row r="8" spans="2:13" ht="52.5" customHeight="1" x14ac:dyDescent="0.35">
      <c r="B8" s="25" t="s">
        <v>49</v>
      </c>
      <c r="C8" s="26" t="s">
        <v>62</v>
      </c>
      <c r="D8" s="27" t="s">
        <v>63</v>
      </c>
      <c r="E8" s="27" t="s">
        <v>64</v>
      </c>
      <c r="F8" s="27" t="s">
        <v>65</v>
      </c>
      <c r="G8" s="27" t="s">
        <v>66</v>
      </c>
      <c r="H8" s="27"/>
      <c r="I8" s="27" t="s">
        <v>67</v>
      </c>
      <c r="J8" s="86"/>
      <c r="K8" s="20"/>
    </row>
    <row r="9" spans="2:13" ht="52.5" customHeight="1" x14ac:dyDescent="0.35">
      <c r="B9" s="25" t="s">
        <v>49</v>
      </c>
      <c r="C9" s="26" t="s">
        <v>68</v>
      </c>
      <c r="D9" s="27" t="s">
        <v>69</v>
      </c>
      <c r="E9" s="27" t="s">
        <v>70</v>
      </c>
      <c r="F9" s="27" t="s">
        <v>71</v>
      </c>
      <c r="G9" s="27" t="s">
        <v>72</v>
      </c>
      <c r="H9" s="27"/>
      <c r="I9" s="27" t="s">
        <v>73</v>
      </c>
      <c r="J9" s="86"/>
    </row>
    <row r="10" spans="2:13" ht="52.5" customHeight="1" x14ac:dyDescent="0.35">
      <c r="B10" s="25" t="s">
        <v>49</v>
      </c>
      <c r="C10" s="26" t="s">
        <v>74</v>
      </c>
      <c r="D10" s="27" t="s">
        <v>75</v>
      </c>
      <c r="E10" s="27" t="s">
        <v>70</v>
      </c>
      <c r="F10" s="27" t="s">
        <v>76</v>
      </c>
      <c r="G10" s="27" t="s">
        <v>77</v>
      </c>
      <c r="H10" s="27"/>
      <c r="I10" s="27" t="s">
        <v>78</v>
      </c>
      <c r="J10" s="86"/>
    </row>
    <row r="11" spans="2:13" ht="52.5" customHeight="1" x14ac:dyDescent="0.35">
      <c r="B11" s="30" t="s">
        <v>79</v>
      </c>
      <c r="C11" s="26" t="s">
        <v>80</v>
      </c>
      <c r="D11" s="27" t="s">
        <v>81</v>
      </c>
      <c r="E11" s="27" t="s">
        <v>70</v>
      </c>
      <c r="F11" s="27" t="s">
        <v>82</v>
      </c>
      <c r="G11" s="27" t="s">
        <v>83</v>
      </c>
      <c r="H11" s="27"/>
      <c r="I11" s="27" t="s">
        <v>84</v>
      </c>
      <c r="J11" s="1" t="s">
        <v>85</v>
      </c>
    </row>
    <row r="12" spans="2:13" ht="52.5" customHeight="1" x14ac:dyDescent="0.35">
      <c r="B12" s="30" t="s">
        <v>79</v>
      </c>
      <c r="C12" s="26" t="s">
        <v>86</v>
      </c>
      <c r="D12" s="27" t="s">
        <v>87</v>
      </c>
      <c r="E12" s="27" t="s">
        <v>70</v>
      </c>
      <c r="F12" s="27" t="s">
        <v>88</v>
      </c>
      <c r="G12" s="29" t="s">
        <v>89</v>
      </c>
      <c r="H12" s="27"/>
      <c r="I12" s="27" t="s">
        <v>90</v>
      </c>
      <c r="J12" s="1" t="s">
        <v>91</v>
      </c>
      <c r="K12" s="29"/>
      <c r="L12" s="29"/>
      <c r="M12" s="20"/>
    </row>
    <row r="13" spans="2:13" ht="52.5" customHeight="1" x14ac:dyDescent="0.35">
      <c r="B13" s="30" t="s">
        <v>79</v>
      </c>
      <c r="C13" s="26" t="s">
        <v>92</v>
      </c>
      <c r="D13" s="27" t="s">
        <v>93</v>
      </c>
      <c r="E13" s="27" t="s">
        <v>70</v>
      </c>
      <c r="F13" s="27" t="s">
        <v>94</v>
      </c>
      <c r="G13" s="27" t="s">
        <v>95</v>
      </c>
      <c r="H13" s="27"/>
      <c r="I13" s="27" t="s">
        <v>96</v>
      </c>
      <c r="J13" s="1" t="s">
        <v>97</v>
      </c>
    </row>
    <row r="14" spans="2:13" ht="52.5" customHeight="1" x14ac:dyDescent="0.35">
      <c r="B14" s="30" t="s">
        <v>79</v>
      </c>
      <c r="C14" s="26" t="s">
        <v>98</v>
      </c>
      <c r="D14" s="27" t="s">
        <v>99</v>
      </c>
      <c r="E14" s="27" t="s">
        <v>70</v>
      </c>
      <c r="F14" s="27" t="s">
        <v>100</v>
      </c>
      <c r="G14" s="27" t="s">
        <v>101</v>
      </c>
      <c r="H14" s="27"/>
      <c r="I14" s="27" t="s">
        <v>102</v>
      </c>
      <c r="J14" s="1" t="s">
        <v>103</v>
      </c>
    </row>
    <row r="15" spans="2:13" ht="52.5" customHeight="1" x14ac:dyDescent="0.35">
      <c r="C15" s="20"/>
    </row>
    <row r="16" spans="2:13" ht="52.5" customHeight="1" x14ac:dyDescent="0.35">
      <c r="C16" s="20"/>
    </row>
  </sheetData>
  <autoFilter ref="B5:J14" xr:uid="{00000000-0009-0000-0000-000002000000}"/>
  <mergeCells count="2">
    <mergeCell ref="B2:C2"/>
    <mergeCell ref="J6:J10"/>
  </mergeCell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23"/>
  <sheetViews>
    <sheetView topLeftCell="A7" zoomScale="70" zoomScaleNormal="70" workbookViewId="0">
      <selection activeCell="D7" sqref="D7"/>
    </sheetView>
  </sheetViews>
  <sheetFormatPr defaultColWidth="8.81640625" defaultRowHeight="14.5" x14ac:dyDescent="0.35"/>
  <cols>
    <col min="1" max="1" width="7.54296875" customWidth="1"/>
    <col min="2" max="2" width="29.453125" customWidth="1"/>
    <col min="3" max="3" width="22.453125" style="19" customWidth="1"/>
    <col min="4" max="4" width="53.453125" customWidth="1"/>
    <col min="5" max="5" width="38.453125" customWidth="1"/>
    <col min="6" max="6" width="37.54296875" hidden="1" customWidth="1"/>
    <col min="7" max="7" width="54.453125" hidden="1" customWidth="1"/>
    <col min="8" max="8" width="57.453125" hidden="1" customWidth="1"/>
    <col min="9" max="9" width="78.453125" hidden="1" customWidth="1"/>
  </cols>
  <sheetData>
    <row r="2" spans="2:14" ht="23.25" customHeight="1" x14ac:dyDescent="0.55000000000000004">
      <c r="B2" s="85" t="s">
        <v>7</v>
      </c>
      <c r="C2" s="85"/>
    </row>
    <row r="3" spans="2:14" ht="14.25" customHeight="1" x14ac:dyDescent="0.35">
      <c r="B3" s="21" t="s">
        <v>9</v>
      </c>
      <c r="C3" s="22" t="s">
        <v>10</v>
      </c>
    </row>
    <row r="4" spans="2:14" ht="15.75" customHeight="1" x14ac:dyDescent="0.35"/>
    <row r="5" spans="2:14" s="19" customFormat="1" ht="21.75" customHeight="1" x14ac:dyDescent="0.35">
      <c r="B5" s="31" t="s">
        <v>104</v>
      </c>
      <c r="C5" s="31" t="s">
        <v>105</v>
      </c>
      <c r="D5" s="31" t="s">
        <v>41</v>
      </c>
      <c r="E5" s="23" t="s">
        <v>42</v>
      </c>
      <c r="F5" s="31" t="s">
        <v>43</v>
      </c>
      <c r="G5" s="23" t="s">
        <v>106</v>
      </c>
      <c r="H5" s="23" t="s">
        <v>46</v>
      </c>
      <c r="I5" s="23" t="s">
        <v>47</v>
      </c>
    </row>
    <row r="6" spans="2:14" ht="104.25" customHeight="1" x14ac:dyDescent="0.35">
      <c r="B6" s="25" t="s">
        <v>49</v>
      </c>
      <c r="C6" s="26" t="s">
        <v>107</v>
      </c>
      <c r="D6" s="27" t="s">
        <v>108</v>
      </c>
      <c r="E6" s="27" t="s">
        <v>70</v>
      </c>
      <c r="F6" s="27" t="s">
        <v>109</v>
      </c>
      <c r="G6" s="27" t="s">
        <v>54</v>
      </c>
      <c r="H6" s="27" t="s">
        <v>54</v>
      </c>
      <c r="I6" s="87" t="s">
        <v>110</v>
      </c>
      <c r="N6" t="s">
        <v>111</v>
      </c>
    </row>
    <row r="7" spans="2:14" ht="104.25" customHeight="1" x14ac:dyDescent="0.35">
      <c r="B7" s="25" t="s">
        <v>49</v>
      </c>
      <c r="C7" s="26" t="s">
        <v>112</v>
      </c>
      <c r="D7" s="27" t="s">
        <v>113</v>
      </c>
      <c r="E7" s="27" t="s">
        <v>114</v>
      </c>
      <c r="F7" s="27"/>
      <c r="G7" s="27"/>
      <c r="H7" s="27"/>
      <c r="I7" s="87"/>
    </row>
    <row r="8" spans="2:14" ht="115.5" customHeight="1" x14ac:dyDescent="0.35">
      <c r="B8" s="25" t="s">
        <v>49</v>
      </c>
      <c r="C8" s="26" t="s">
        <v>115</v>
      </c>
      <c r="D8" s="27" t="s">
        <v>116</v>
      </c>
      <c r="E8" s="27" t="s">
        <v>70</v>
      </c>
      <c r="F8" s="27" t="s">
        <v>117</v>
      </c>
      <c r="G8" s="27" t="s">
        <v>54</v>
      </c>
      <c r="H8" s="27" t="s">
        <v>54</v>
      </c>
      <c r="I8" s="87"/>
    </row>
    <row r="9" spans="2:14" ht="117.75" customHeight="1" x14ac:dyDescent="0.35">
      <c r="B9" s="25" t="s">
        <v>49</v>
      </c>
      <c r="C9" s="26" t="s">
        <v>118</v>
      </c>
      <c r="D9" s="27" t="s">
        <v>119</v>
      </c>
      <c r="E9" s="27" t="s">
        <v>70</v>
      </c>
      <c r="F9" s="27" t="s">
        <v>120</v>
      </c>
      <c r="G9" s="27" t="s">
        <v>121</v>
      </c>
      <c r="H9" s="27" t="s">
        <v>122</v>
      </c>
      <c r="I9" s="87"/>
    </row>
    <row r="10" spans="2:14" ht="93.75" customHeight="1" x14ac:dyDescent="0.35">
      <c r="B10" s="25" t="s">
        <v>104</v>
      </c>
      <c r="C10" s="26" t="s">
        <v>123</v>
      </c>
      <c r="D10" s="27" t="s">
        <v>124</v>
      </c>
      <c r="E10" s="27" t="s">
        <v>70</v>
      </c>
      <c r="F10" s="27" t="s">
        <v>125</v>
      </c>
      <c r="G10" s="27" t="s">
        <v>126</v>
      </c>
      <c r="H10" s="27" t="s">
        <v>127</v>
      </c>
      <c r="I10" s="87"/>
    </row>
    <row r="11" spans="2:14" ht="135" customHeight="1" x14ac:dyDescent="0.35">
      <c r="B11" s="30" t="s">
        <v>79</v>
      </c>
      <c r="C11" s="26" t="s">
        <v>128</v>
      </c>
      <c r="D11" s="27" t="s">
        <v>129</v>
      </c>
      <c r="E11" s="27" t="s">
        <v>70</v>
      </c>
      <c r="F11" s="27" t="s">
        <v>130</v>
      </c>
      <c r="G11" s="27" t="s">
        <v>131</v>
      </c>
      <c r="H11" s="32" t="s">
        <v>132</v>
      </c>
      <c r="I11" s="1" t="s">
        <v>133</v>
      </c>
      <c r="J11" s="20" t="s">
        <v>134</v>
      </c>
    </row>
    <row r="12" spans="2:14" ht="135" customHeight="1" x14ac:dyDescent="0.35">
      <c r="B12" s="30" t="s">
        <v>79</v>
      </c>
      <c r="C12" s="26" t="s">
        <v>135</v>
      </c>
      <c r="D12" s="27" t="s">
        <v>136</v>
      </c>
      <c r="E12" s="27"/>
      <c r="F12" s="27"/>
      <c r="G12" s="27"/>
      <c r="H12" s="32"/>
      <c r="I12" s="28"/>
      <c r="J12" s="20"/>
    </row>
    <row r="13" spans="2:14" ht="180" customHeight="1" x14ac:dyDescent="0.35">
      <c r="B13" s="30" t="s">
        <v>79</v>
      </c>
      <c r="C13" s="26" t="s">
        <v>137</v>
      </c>
      <c r="D13" s="27" t="s">
        <v>138</v>
      </c>
      <c r="E13" s="27" t="s">
        <v>70</v>
      </c>
      <c r="F13" s="27" t="s">
        <v>139</v>
      </c>
      <c r="G13" s="27" t="s">
        <v>140</v>
      </c>
      <c r="H13" s="27" t="s">
        <v>141</v>
      </c>
      <c r="I13" s="1" t="s">
        <v>142</v>
      </c>
    </row>
    <row r="14" spans="2:14" ht="112.5" customHeight="1" x14ac:dyDescent="0.35">
      <c r="B14" s="33" t="s">
        <v>79</v>
      </c>
      <c r="C14" s="34" t="s">
        <v>143</v>
      </c>
      <c r="D14" s="35" t="s">
        <v>144</v>
      </c>
      <c r="E14" s="35" t="s">
        <v>70</v>
      </c>
      <c r="F14" s="35" t="s">
        <v>145</v>
      </c>
      <c r="G14" s="35" t="s">
        <v>146</v>
      </c>
      <c r="H14" s="35" t="s">
        <v>147</v>
      </c>
      <c r="I14" s="1" t="s">
        <v>148</v>
      </c>
    </row>
    <row r="15" spans="2:14" ht="112.5" customHeight="1" x14ac:dyDescent="0.35">
      <c r="B15" s="33" t="s">
        <v>79</v>
      </c>
      <c r="C15" s="34" t="s">
        <v>149</v>
      </c>
      <c r="D15" s="35" t="s">
        <v>150</v>
      </c>
      <c r="E15" s="35" t="s">
        <v>70</v>
      </c>
      <c r="F15" s="35"/>
      <c r="G15" s="35"/>
      <c r="H15" s="35"/>
      <c r="I15" s="1"/>
    </row>
    <row r="16" spans="2:14" ht="94.5" customHeight="1" x14ac:dyDescent="0.35">
      <c r="B16" s="30" t="s">
        <v>79</v>
      </c>
      <c r="C16" s="26" t="s">
        <v>151</v>
      </c>
      <c r="D16" s="27" t="s">
        <v>152</v>
      </c>
      <c r="E16" s="27" t="s">
        <v>70</v>
      </c>
      <c r="F16" s="27" t="s">
        <v>153</v>
      </c>
      <c r="G16" s="27" t="s">
        <v>54</v>
      </c>
      <c r="H16" s="27" t="s">
        <v>54</v>
      </c>
      <c r="I16" s="27" t="s">
        <v>54</v>
      </c>
    </row>
    <row r="17" ht="14.25" customHeight="1" x14ac:dyDescent="0.35"/>
    <row r="18" ht="14.25" customHeight="1" x14ac:dyDescent="0.35"/>
    <row r="19" ht="14.25" customHeight="1" x14ac:dyDescent="0.35"/>
    <row r="20" ht="14.25" customHeight="1" x14ac:dyDescent="0.35"/>
    <row r="21" ht="14.25" customHeight="1" x14ac:dyDescent="0.35"/>
    <row r="23" s="19" customFormat="1" ht="14.25" customHeight="1" x14ac:dyDescent="0.35"/>
  </sheetData>
  <autoFilter ref="B5:I14" xr:uid="{00000000-0009-0000-0000-000003000000}"/>
  <mergeCells count="2">
    <mergeCell ref="B2:C2"/>
    <mergeCell ref="I6:I10"/>
  </mergeCells>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I23"/>
  <sheetViews>
    <sheetView zoomScale="80" zoomScaleNormal="80" workbookViewId="0">
      <selection activeCell="B3" sqref="B3"/>
    </sheetView>
  </sheetViews>
  <sheetFormatPr defaultColWidth="8.81640625" defaultRowHeight="14.5" x14ac:dyDescent="0.35"/>
  <cols>
    <col min="2" max="2" width="26.453125" customWidth="1"/>
    <col min="3" max="3" width="22.453125" style="19" customWidth="1"/>
    <col min="4" max="4" width="36.54296875" customWidth="1"/>
    <col min="5" max="5" width="37.453125" customWidth="1"/>
    <col min="6" max="6" width="33.1796875" hidden="1" customWidth="1"/>
    <col min="7" max="8" width="58.1796875" hidden="1" customWidth="1"/>
    <col min="9" max="9" width="51.453125" hidden="1" customWidth="1"/>
  </cols>
  <sheetData>
    <row r="2" spans="2:9" ht="23.25" customHeight="1" x14ac:dyDescent="0.55000000000000004">
      <c r="B2" s="85" t="s">
        <v>11</v>
      </c>
      <c r="C2" s="85"/>
      <c r="D2" s="19"/>
    </row>
    <row r="3" spans="2:9" ht="14.25" customHeight="1" x14ac:dyDescent="0.35">
      <c r="B3" s="21" t="s">
        <v>13</v>
      </c>
      <c r="C3" s="22" t="s">
        <v>14</v>
      </c>
    </row>
    <row r="5" spans="2:9" s="19" customFormat="1" ht="14.25" customHeight="1" x14ac:dyDescent="0.35">
      <c r="B5" s="23" t="s">
        <v>104</v>
      </c>
      <c r="C5" s="23" t="s">
        <v>154</v>
      </c>
      <c r="D5" s="23" t="s">
        <v>41</v>
      </c>
      <c r="E5" s="23" t="s">
        <v>42</v>
      </c>
      <c r="F5" s="31" t="s">
        <v>43</v>
      </c>
      <c r="G5" s="23" t="s">
        <v>106</v>
      </c>
      <c r="H5" s="23" t="s">
        <v>46</v>
      </c>
      <c r="I5" s="23" t="s">
        <v>47</v>
      </c>
    </row>
    <row r="6" spans="2:9" ht="230.25" customHeight="1" x14ac:dyDescent="0.35">
      <c r="B6" s="25" t="s">
        <v>49</v>
      </c>
      <c r="C6" s="26" t="s">
        <v>155</v>
      </c>
      <c r="D6" s="27" t="s">
        <v>156</v>
      </c>
      <c r="E6" s="27" t="s">
        <v>70</v>
      </c>
      <c r="F6" s="27" t="s">
        <v>157</v>
      </c>
      <c r="G6" s="27"/>
      <c r="H6" s="27"/>
      <c r="I6" s="36" t="s">
        <v>158</v>
      </c>
    </row>
    <row r="7" spans="2:9" ht="116.25" customHeight="1" x14ac:dyDescent="0.35">
      <c r="B7" s="30" t="s">
        <v>79</v>
      </c>
      <c r="C7" s="26" t="s">
        <v>159</v>
      </c>
      <c r="D7" s="27" t="s">
        <v>160</v>
      </c>
      <c r="E7" s="27" t="s">
        <v>70</v>
      </c>
      <c r="F7" s="27" t="s">
        <v>161</v>
      </c>
      <c r="G7" s="27"/>
      <c r="H7" s="27"/>
      <c r="I7" s="36"/>
    </row>
    <row r="8" spans="2:9" ht="95.25" customHeight="1" x14ac:dyDescent="0.35">
      <c r="B8" s="30" t="s">
        <v>79</v>
      </c>
      <c r="C8" s="26" t="s">
        <v>162</v>
      </c>
      <c r="D8" s="27" t="s">
        <v>163</v>
      </c>
      <c r="E8" s="27" t="s">
        <v>70</v>
      </c>
      <c r="F8" s="27" t="s">
        <v>164</v>
      </c>
      <c r="G8" s="27"/>
      <c r="H8" s="27"/>
      <c r="I8" s="37"/>
    </row>
    <row r="9" spans="2:9" ht="87" customHeight="1" x14ac:dyDescent="0.35">
      <c r="B9" s="30" t="s">
        <v>79</v>
      </c>
      <c r="C9" s="26" t="s">
        <v>165</v>
      </c>
      <c r="D9" s="27" t="s">
        <v>166</v>
      </c>
      <c r="E9" s="27" t="s">
        <v>70</v>
      </c>
      <c r="F9" s="27" t="s">
        <v>167</v>
      </c>
      <c r="G9" s="27"/>
      <c r="H9" s="27"/>
      <c r="I9" s="27"/>
    </row>
    <row r="10" spans="2:9" ht="14.25" customHeight="1" x14ac:dyDescent="0.35">
      <c r="C10" s="38"/>
    </row>
    <row r="11" spans="2:9" ht="14.25" customHeight="1" x14ac:dyDescent="0.35">
      <c r="C11" s="39"/>
    </row>
    <row r="12" spans="2:9" ht="14.25" customHeight="1" x14ac:dyDescent="0.35"/>
    <row r="13" spans="2:9" ht="14.25" customHeight="1" x14ac:dyDescent="0.35"/>
    <row r="14" spans="2:9" ht="14.25" customHeight="1" x14ac:dyDescent="0.35"/>
    <row r="15" spans="2:9" ht="14.25" customHeight="1" x14ac:dyDescent="0.35"/>
    <row r="16" spans="2:9" ht="14.25" customHeight="1" x14ac:dyDescent="0.35"/>
    <row r="17" spans="2:9" ht="14.25" customHeight="1" x14ac:dyDescent="0.35"/>
    <row r="18" spans="2:9" ht="14.25" customHeight="1" x14ac:dyDescent="0.35"/>
    <row r="19" spans="2:9" ht="14.25" customHeight="1" x14ac:dyDescent="0.35"/>
    <row r="20" spans="2:9" ht="15" customHeight="1" x14ac:dyDescent="0.35"/>
    <row r="21" spans="2:9" ht="15" customHeight="1" x14ac:dyDescent="0.35"/>
    <row r="22" spans="2:9" ht="14.25" customHeight="1" x14ac:dyDescent="0.35">
      <c r="B22" s="19"/>
      <c r="D22" s="19"/>
      <c r="E22" s="19"/>
      <c r="F22" s="19"/>
      <c r="G22" s="19"/>
      <c r="H22" s="19"/>
      <c r="I22" s="19"/>
    </row>
    <row r="23" spans="2:9" s="19" customFormat="1" ht="14.25" customHeight="1" x14ac:dyDescent="0.35"/>
  </sheetData>
  <autoFilter ref="B5:I22" xr:uid="{00000000-0009-0000-0000-000004000000}"/>
  <mergeCells count="1">
    <mergeCell ref="B2:C2"/>
  </mergeCells>
  <pageMargins left="0.7" right="0.7" top="0.75" bottom="0.75" header="0.511811023622047" footer="0.511811023622047"/>
  <pageSetup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19"/>
  <sheetViews>
    <sheetView topLeftCell="A5" zoomScale="80" zoomScaleNormal="80" workbookViewId="0">
      <selection activeCell="E11" sqref="E11"/>
    </sheetView>
  </sheetViews>
  <sheetFormatPr defaultColWidth="8.81640625" defaultRowHeight="14.5" x14ac:dyDescent="0.35"/>
  <cols>
    <col min="2" max="2" width="36.81640625" customWidth="1"/>
    <col min="3" max="3" width="25.54296875" style="19" customWidth="1"/>
    <col min="4" max="5" width="44.1796875" customWidth="1"/>
    <col min="6" max="6" width="33.453125" hidden="1" customWidth="1"/>
    <col min="7" max="7" width="55.453125" hidden="1" customWidth="1"/>
    <col min="8" max="8" width="42.453125" hidden="1" customWidth="1"/>
  </cols>
  <sheetData>
    <row r="2" spans="2:8" ht="23.25" customHeight="1" x14ac:dyDescent="0.35">
      <c r="B2" s="88" t="s">
        <v>15</v>
      </c>
      <c r="C2" s="88"/>
    </row>
    <row r="3" spans="2:8" ht="14.25" customHeight="1" x14ac:dyDescent="0.35">
      <c r="B3" s="40" t="s">
        <v>17</v>
      </c>
      <c r="C3" s="41" t="s">
        <v>14</v>
      </c>
    </row>
    <row r="5" spans="2:8" s="19" customFormat="1" ht="15.75" customHeight="1" x14ac:dyDescent="0.35">
      <c r="B5" s="23" t="s">
        <v>104</v>
      </c>
      <c r="C5" s="23" t="s">
        <v>105</v>
      </c>
      <c r="D5" s="23" t="s">
        <v>41</v>
      </c>
      <c r="E5" s="23" t="s">
        <v>42</v>
      </c>
      <c r="F5" s="23" t="s">
        <v>43</v>
      </c>
      <c r="G5" s="23" t="s">
        <v>168</v>
      </c>
      <c r="H5" s="23" t="s">
        <v>169</v>
      </c>
    </row>
    <row r="6" spans="2:8" ht="93.75" customHeight="1" x14ac:dyDescent="0.35">
      <c r="B6" s="25" t="s">
        <v>49</v>
      </c>
      <c r="C6" s="26" t="s">
        <v>170</v>
      </c>
      <c r="D6" s="27" t="s">
        <v>171</v>
      </c>
      <c r="E6" s="27" t="s">
        <v>172</v>
      </c>
      <c r="F6" s="27" t="s">
        <v>173</v>
      </c>
      <c r="G6" s="27" t="s">
        <v>174</v>
      </c>
      <c r="H6" s="27" t="s">
        <v>175</v>
      </c>
    </row>
    <row r="7" spans="2:8" ht="135.75" customHeight="1" x14ac:dyDescent="0.35">
      <c r="B7" s="30" t="s">
        <v>79</v>
      </c>
      <c r="C7" s="26" t="s">
        <v>176</v>
      </c>
      <c r="D7" s="27" t="s">
        <v>177</v>
      </c>
      <c r="E7" s="27" t="s">
        <v>70</v>
      </c>
      <c r="F7" s="27" t="s">
        <v>178</v>
      </c>
      <c r="G7" s="27" t="s">
        <v>179</v>
      </c>
      <c r="H7" s="27" t="s">
        <v>180</v>
      </c>
    </row>
    <row r="8" spans="2:8" ht="90.75" customHeight="1" x14ac:dyDescent="0.35">
      <c r="B8" s="30" t="s">
        <v>79</v>
      </c>
      <c r="C8" s="26" t="s">
        <v>181</v>
      </c>
      <c r="D8" s="27" t="s">
        <v>182</v>
      </c>
      <c r="E8" s="27" t="s">
        <v>70</v>
      </c>
      <c r="F8" s="27" t="s">
        <v>183</v>
      </c>
      <c r="G8" s="27" t="s">
        <v>54</v>
      </c>
      <c r="H8" s="27" t="s">
        <v>184</v>
      </c>
    </row>
    <row r="9" spans="2:8" ht="138.75" customHeight="1" x14ac:dyDescent="0.35">
      <c r="B9" s="30" t="s">
        <v>79</v>
      </c>
      <c r="C9" s="42" t="s">
        <v>185</v>
      </c>
      <c r="D9" s="27" t="s">
        <v>186</v>
      </c>
      <c r="E9" s="27"/>
      <c r="F9" s="27" t="s">
        <v>187</v>
      </c>
    </row>
    <row r="10" spans="2:8" ht="106.5" customHeight="1" x14ac:dyDescent="0.35"/>
    <row r="11" spans="2:8" ht="73.5" customHeight="1" x14ac:dyDescent="0.35"/>
    <row r="19" spans="2:2" s="19" customFormat="1" ht="14.25" customHeight="1" x14ac:dyDescent="0.35">
      <c r="B19" s="19" t="s">
        <v>188</v>
      </c>
    </row>
  </sheetData>
  <autoFilter ref="B5:H8" xr:uid="{00000000-0009-0000-0000-000005000000}"/>
  <mergeCells count="1">
    <mergeCell ref="B2:C2"/>
  </mergeCells>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H7"/>
  <sheetViews>
    <sheetView zoomScale="70" zoomScaleNormal="70" workbookViewId="0">
      <selection activeCell="B3" sqref="B3"/>
    </sheetView>
  </sheetViews>
  <sheetFormatPr defaultColWidth="8.81640625" defaultRowHeight="14.5" x14ac:dyDescent="0.35"/>
  <cols>
    <col min="1" max="1" width="6.81640625" customWidth="1"/>
    <col min="2" max="2" width="31.453125" customWidth="1"/>
    <col min="3" max="3" width="32.453125" style="19" customWidth="1"/>
    <col min="4" max="4" width="46.453125" customWidth="1"/>
    <col min="5" max="5" width="37.453125" customWidth="1"/>
    <col min="6" max="6" width="33.1796875" hidden="1" customWidth="1"/>
    <col min="7" max="7" width="48.81640625" hidden="1" customWidth="1"/>
    <col min="8" max="8" width="51.453125" hidden="1" customWidth="1"/>
  </cols>
  <sheetData>
    <row r="2" spans="2:8" ht="23.25" customHeight="1" x14ac:dyDescent="0.35">
      <c r="B2" s="88" t="s">
        <v>189</v>
      </c>
      <c r="C2" s="88"/>
    </row>
    <row r="3" spans="2:8" ht="14.25" customHeight="1" x14ac:dyDescent="0.35">
      <c r="B3" s="43" t="s">
        <v>19</v>
      </c>
      <c r="C3" s="44" t="s">
        <v>20</v>
      </c>
    </row>
    <row r="5" spans="2:8" s="19" customFormat="1" ht="14.25" customHeight="1" x14ac:dyDescent="0.35">
      <c r="B5" s="23" t="s">
        <v>104</v>
      </c>
      <c r="C5" s="23" t="s">
        <v>154</v>
      </c>
      <c r="D5" s="23" t="s">
        <v>41</v>
      </c>
      <c r="E5" s="23" t="s">
        <v>42</v>
      </c>
      <c r="F5" s="23" t="s">
        <v>43</v>
      </c>
      <c r="G5" s="23" t="s">
        <v>168</v>
      </c>
      <c r="H5" s="23" t="s">
        <v>169</v>
      </c>
    </row>
    <row r="6" spans="2:8" ht="67.5" customHeight="1" x14ac:dyDescent="0.35">
      <c r="B6" s="45" t="s">
        <v>79</v>
      </c>
      <c r="C6" s="26" t="s">
        <v>190</v>
      </c>
      <c r="D6" s="27" t="s">
        <v>191</v>
      </c>
      <c r="E6" s="27" t="s">
        <v>70</v>
      </c>
      <c r="F6" s="27" t="s">
        <v>192</v>
      </c>
      <c r="G6" s="46" t="s">
        <v>193</v>
      </c>
      <c r="H6" s="27" t="s">
        <v>194</v>
      </c>
    </row>
    <row r="7" spans="2:8" ht="14.25" customHeight="1" x14ac:dyDescent="0.35">
      <c r="E7" s="19"/>
    </row>
  </sheetData>
  <autoFilter ref="B5:H13" xr:uid="{00000000-0009-0000-0000-000006000000}"/>
  <mergeCells count="1">
    <mergeCell ref="B2:C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
  <sheetViews>
    <sheetView topLeftCell="A3" zoomScale="60" zoomScaleNormal="60" workbookViewId="0">
      <selection activeCell="B3" sqref="B3"/>
    </sheetView>
  </sheetViews>
  <sheetFormatPr defaultColWidth="8.81640625" defaultRowHeight="14.5" x14ac:dyDescent="0.35"/>
  <cols>
    <col min="1" max="1" width="6.81640625" customWidth="1"/>
    <col min="2" max="2" width="22.453125" customWidth="1"/>
    <col min="3" max="3" width="63.26953125" customWidth="1"/>
    <col min="4" max="4" width="75.453125" customWidth="1"/>
    <col min="5" max="5" width="42" customWidth="1"/>
    <col min="6" max="6" width="52.453125" hidden="1" customWidth="1"/>
    <col min="7" max="7" width="46.1796875" hidden="1" customWidth="1"/>
    <col min="8" max="8" width="52.81640625" hidden="1" customWidth="1"/>
  </cols>
  <sheetData>
    <row r="1" spans="2:8" ht="15" customHeight="1" x14ac:dyDescent="0.35"/>
    <row r="2" spans="2:8" ht="24" customHeight="1" x14ac:dyDescent="0.55000000000000004">
      <c r="B2" s="89" t="s">
        <v>21</v>
      </c>
      <c r="C2" s="89"/>
    </row>
    <row r="3" spans="2:8" ht="15" customHeight="1" x14ac:dyDescent="0.35">
      <c r="B3" s="47" t="s">
        <v>23</v>
      </c>
      <c r="C3" s="48" t="s">
        <v>6</v>
      </c>
    </row>
    <row r="5" spans="2:8" ht="14.25" customHeight="1" x14ac:dyDescent="0.35">
      <c r="B5" s="31" t="s">
        <v>104</v>
      </c>
      <c r="C5" s="31" t="s">
        <v>154</v>
      </c>
      <c r="D5" s="31" t="s">
        <v>41</v>
      </c>
      <c r="E5" s="31" t="s">
        <v>42</v>
      </c>
      <c r="F5" s="31" t="s">
        <v>43</v>
      </c>
      <c r="G5" s="31" t="s">
        <v>168</v>
      </c>
      <c r="H5" s="31" t="s">
        <v>169</v>
      </c>
    </row>
    <row r="6" spans="2:8" ht="99" customHeight="1" x14ac:dyDescent="0.35">
      <c r="B6" s="49" t="s">
        <v>49</v>
      </c>
      <c r="C6" s="50" t="s">
        <v>195</v>
      </c>
      <c r="D6" s="27" t="s">
        <v>196</v>
      </c>
      <c r="E6" s="51" t="s">
        <v>197</v>
      </c>
      <c r="F6" s="27" t="s">
        <v>198</v>
      </c>
      <c r="G6" s="27" t="s">
        <v>199</v>
      </c>
      <c r="H6" s="27" t="s">
        <v>200</v>
      </c>
    </row>
    <row r="7" spans="2:8" ht="111.75" customHeight="1" x14ac:dyDescent="0.35">
      <c r="B7" s="49" t="s">
        <v>49</v>
      </c>
      <c r="C7" s="26" t="s">
        <v>201</v>
      </c>
      <c r="D7" s="27" t="s">
        <v>202</v>
      </c>
      <c r="E7" s="51" t="s">
        <v>203</v>
      </c>
      <c r="F7" s="27" t="s">
        <v>204</v>
      </c>
      <c r="G7" s="27" t="s">
        <v>205</v>
      </c>
      <c r="H7" s="51" t="s">
        <v>206</v>
      </c>
    </row>
    <row r="8" spans="2:8" ht="111" customHeight="1" x14ac:dyDescent="0.35">
      <c r="B8" s="49" t="s">
        <v>49</v>
      </c>
      <c r="C8" s="52" t="s">
        <v>207</v>
      </c>
      <c r="D8" s="53" t="s">
        <v>208</v>
      </c>
      <c r="E8" s="54" t="s">
        <v>70</v>
      </c>
      <c r="F8" s="53" t="s">
        <v>209</v>
      </c>
      <c r="G8" s="27" t="s">
        <v>210</v>
      </c>
      <c r="H8" s="51" t="s">
        <v>211</v>
      </c>
    </row>
    <row r="9" spans="2:8" ht="98.25" customHeight="1" x14ac:dyDescent="0.35">
      <c r="B9" s="55" t="s">
        <v>79</v>
      </c>
      <c r="C9" s="50" t="s">
        <v>212</v>
      </c>
      <c r="D9" s="27" t="s">
        <v>213</v>
      </c>
      <c r="E9" s="27" t="s">
        <v>70</v>
      </c>
      <c r="F9" s="27" t="s">
        <v>214</v>
      </c>
      <c r="G9" s="51" t="s">
        <v>54</v>
      </c>
      <c r="H9" s="51" t="s">
        <v>54</v>
      </c>
    </row>
    <row r="10" spans="2:8" ht="84.75" customHeight="1" x14ac:dyDescent="0.35">
      <c r="B10" s="55" t="s">
        <v>79</v>
      </c>
      <c r="C10" s="26" t="s">
        <v>215</v>
      </c>
      <c r="D10" s="27" t="s">
        <v>216</v>
      </c>
      <c r="E10" s="27" t="s">
        <v>70</v>
      </c>
      <c r="F10" s="27" t="s">
        <v>217</v>
      </c>
      <c r="G10" s="51" t="s">
        <v>54</v>
      </c>
      <c r="H10" s="51" t="s">
        <v>54</v>
      </c>
    </row>
    <row r="11" spans="2:8" ht="80.25" customHeight="1" x14ac:dyDescent="0.35">
      <c r="B11" s="55" t="s">
        <v>79</v>
      </c>
      <c r="C11" s="26" t="s">
        <v>218</v>
      </c>
      <c r="D11" s="27" t="s">
        <v>219</v>
      </c>
      <c r="E11" s="51" t="s">
        <v>70</v>
      </c>
      <c r="F11" s="27" t="s">
        <v>220</v>
      </c>
      <c r="G11" s="51" t="s">
        <v>54</v>
      </c>
      <c r="H11" s="51" t="s">
        <v>54</v>
      </c>
    </row>
    <row r="12" spans="2:8" ht="76.5" customHeight="1" x14ac:dyDescent="0.35">
      <c r="B12" s="55" t="s">
        <v>79</v>
      </c>
      <c r="C12" s="50" t="s">
        <v>221</v>
      </c>
      <c r="D12" s="27" t="s">
        <v>222</v>
      </c>
      <c r="E12" s="27" t="s">
        <v>70</v>
      </c>
      <c r="F12" s="27" t="s">
        <v>223</v>
      </c>
      <c r="G12" s="51" t="s">
        <v>54</v>
      </c>
      <c r="H12" s="51" t="s">
        <v>54</v>
      </c>
    </row>
  </sheetData>
  <autoFilter ref="B5:H12" xr:uid="{00000000-0009-0000-0000-000007000000}"/>
  <mergeCells count="1">
    <mergeCell ref="B2:C2"/>
  </mergeCells>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12"/>
  <sheetViews>
    <sheetView topLeftCell="A3" zoomScale="90" zoomScaleNormal="90" workbookViewId="0">
      <selection activeCell="B3" sqref="B3"/>
    </sheetView>
  </sheetViews>
  <sheetFormatPr defaultColWidth="8.81640625" defaultRowHeight="14.5" x14ac:dyDescent="0.35"/>
  <cols>
    <col min="1" max="1" width="7.81640625" customWidth="1"/>
    <col min="2" max="2" width="17.453125" customWidth="1"/>
    <col min="3" max="3" width="45.453125" customWidth="1"/>
    <col min="4" max="4" width="42.453125" customWidth="1"/>
    <col min="5" max="5" width="43.81640625" customWidth="1"/>
    <col min="6" max="6" width="52.453125" hidden="1" customWidth="1"/>
    <col min="7" max="7" width="44.453125" hidden="1" customWidth="1"/>
    <col min="8" max="8" width="34.453125" hidden="1" customWidth="1"/>
  </cols>
  <sheetData>
    <row r="1" spans="2:8" ht="15" customHeight="1" x14ac:dyDescent="0.35"/>
    <row r="2" spans="2:8" ht="24" customHeight="1" x14ac:dyDescent="0.55000000000000004">
      <c r="B2" s="89" t="s">
        <v>24</v>
      </c>
      <c r="C2" s="89"/>
    </row>
    <row r="3" spans="2:8" ht="15" customHeight="1" x14ac:dyDescent="0.35">
      <c r="B3" s="47" t="s">
        <v>23</v>
      </c>
      <c r="C3" s="48" t="s">
        <v>6</v>
      </c>
    </row>
    <row r="5" spans="2:8" ht="14.25" customHeight="1" x14ac:dyDescent="0.35">
      <c r="B5" s="31" t="s">
        <v>104</v>
      </c>
      <c r="C5" s="31" t="s">
        <v>105</v>
      </c>
      <c r="D5" s="31" t="s">
        <v>41</v>
      </c>
      <c r="E5" s="31" t="s">
        <v>42</v>
      </c>
      <c r="F5" s="31" t="s">
        <v>43</v>
      </c>
      <c r="G5" s="31" t="s">
        <v>168</v>
      </c>
      <c r="H5" s="31" t="s">
        <v>169</v>
      </c>
    </row>
    <row r="6" spans="2:8" ht="82.5" customHeight="1" x14ac:dyDescent="0.35">
      <c r="B6" s="49" t="s">
        <v>49</v>
      </c>
      <c r="C6" s="50" t="s">
        <v>224</v>
      </c>
      <c r="D6" s="27" t="s">
        <v>225</v>
      </c>
      <c r="E6" s="51" t="s">
        <v>226</v>
      </c>
      <c r="F6" s="27" t="s">
        <v>227</v>
      </c>
      <c r="G6" s="27" t="s">
        <v>228</v>
      </c>
      <c r="H6" s="27" t="s">
        <v>229</v>
      </c>
    </row>
    <row r="7" spans="2:8" ht="90.75" customHeight="1" x14ac:dyDescent="0.35">
      <c r="B7" s="49" t="s">
        <v>49</v>
      </c>
      <c r="C7" s="50" t="s">
        <v>230</v>
      </c>
      <c r="D7" s="27" t="s">
        <v>231</v>
      </c>
      <c r="E7" s="27" t="s">
        <v>232</v>
      </c>
      <c r="F7" s="27" t="s">
        <v>233</v>
      </c>
      <c r="G7" s="51" t="s">
        <v>54</v>
      </c>
      <c r="H7" s="51" t="s">
        <v>54</v>
      </c>
    </row>
    <row r="8" spans="2:8" ht="74.25" customHeight="1" x14ac:dyDescent="0.35">
      <c r="B8" s="49" t="s">
        <v>49</v>
      </c>
      <c r="C8" s="50" t="s">
        <v>234</v>
      </c>
      <c r="D8" s="27" t="s">
        <v>235</v>
      </c>
      <c r="E8" s="27" t="s">
        <v>236</v>
      </c>
      <c r="F8" s="27" t="s">
        <v>237</v>
      </c>
      <c r="G8" s="51" t="s">
        <v>54</v>
      </c>
      <c r="H8" s="51" t="s">
        <v>54</v>
      </c>
    </row>
    <row r="9" spans="2:8" ht="86.25" customHeight="1" x14ac:dyDescent="0.35">
      <c r="B9" s="55" t="s">
        <v>79</v>
      </c>
      <c r="C9" s="26" t="s">
        <v>238</v>
      </c>
      <c r="D9" s="27" t="s">
        <v>239</v>
      </c>
      <c r="E9" s="51" t="s">
        <v>70</v>
      </c>
      <c r="F9" s="27" t="s">
        <v>240</v>
      </c>
      <c r="G9" s="51" t="s">
        <v>54</v>
      </c>
      <c r="H9" s="51" t="s">
        <v>54</v>
      </c>
    </row>
    <row r="10" spans="2:8" ht="93.75" customHeight="1" x14ac:dyDescent="0.35">
      <c r="B10" s="55" t="s">
        <v>79</v>
      </c>
      <c r="C10" s="26" t="s">
        <v>241</v>
      </c>
      <c r="D10" s="27" t="s">
        <v>242</v>
      </c>
      <c r="E10" s="51" t="s">
        <v>70</v>
      </c>
      <c r="F10" s="27" t="s">
        <v>243</v>
      </c>
      <c r="G10" s="51" t="s">
        <v>54</v>
      </c>
      <c r="H10" s="51" t="s">
        <v>54</v>
      </c>
    </row>
    <row r="11" spans="2:8" ht="89.25" customHeight="1" x14ac:dyDescent="0.35">
      <c r="B11" s="55" t="s">
        <v>79</v>
      </c>
      <c r="C11" s="26" t="s">
        <v>244</v>
      </c>
      <c r="D11" s="27" t="s">
        <v>245</v>
      </c>
      <c r="E11" s="51" t="s">
        <v>70</v>
      </c>
      <c r="F11" s="27" t="s">
        <v>246</v>
      </c>
      <c r="G11" s="51" t="s">
        <v>54</v>
      </c>
      <c r="H11" s="51" t="s">
        <v>54</v>
      </c>
    </row>
    <row r="12" spans="2:8" ht="88.5" customHeight="1" x14ac:dyDescent="0.35">
      <c r="B12" s="55" t="s">
        <v>79</v>
      </c>
      <c r="C12" s="26" t="s">
        <v>247</v>
      </c>
      <c r="D12" s="27" t="s">
        <v>248</v>
      </c>
      <c r="E12" s="51" t="s">
        <v>70</v>
      </c>
      <c r="F12" s="27" t="s">
        <v>249</v>
      </c>
      <c r="G12" s="51" t="s">
        <v>54</v>
      </c>
      <c r="H12" s="51" t="s">
        <v>54</v>
      </c>
    </row>
  </sheetData>
  <autoFilter ref="B5:H12" xr:uid="{00000000-0009-0000-0000-000008000000}"/>
  <mergeCells count="1">
    <mergeCell ref="B2:C2"/>
  </mergeCells>
  <pageMargins left="0.7" right="0.7" top="0.75" bottom="0.75"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
  <sheetViews>
    <sheetView zoomScale="90" zoomScaleNormal="90" workbookViewId="0">
      <selection activeCell="C3" sqref="C3"/>
    </sheetView>
  </sheetViews>
  <sheetFormatPr defaultColWidth="8.81640625" defaultRowHeight="14.5" x14ac:dyDescent="0.35"/>
  <cols>
    <col min="2" max="2" width="17.453125" customWidth="1"/>
    <col min="3" max="3" width="43.81640625" customWidth="1"/>
    <col min="4" max="4" width="47.1796875" customWidth="1"/>
    <col min="5" max="5" width="35.1796875" customWidth="1"/>
    <col min="6" max="6" width="47.453125" hidden="1" customWidth="1"/>
    <col min="7" max="7" width="50.453125" hidden="1" customWidth="1"/>
    <col min="8" max="8" width="38" hidden="1" customWidth="1"/>
  </cols>
  <sheetData>
    <row r="1" spans="2:8" ht="15" customHeight="1" x14ac:dyDescent="0.35"/>
    <row r="2" spans="2:8" ht="24" customHeight="1" x14ac:dyDescent="0.55000000000000004">
      <c r="B2" s="89" t="s">
        <v>26</v>
      </c>
      <c r="C2" s="89"/>
    </row>
    <row r="3" spans="2:8" ht="15" customHeight="1" x14ac:dyDescent="0.35">
      <c r="B3" s="47" t="s">
        <v>28</v>
      </c>
      <c r="C3" s="48" t="s">
        <v>29</v>
      </c>
    </row>
    <row r="5" spans="2:8" ht="14.25" customHeight="1" x14ac:dyDescent="0.35">
      <c r="B5" s="31" t="s">
        <v>104</v>
      </c>
      <c r="C5" s="31" t="s">
        <v>105</v>
      </c>
      <c r="D5" s="31" t="s">
        <v>41</v>
      </c>
      <c r="E5" s="31" t="s">
        <v>42</v>
      </c>
      <c r="F5" s="31" t="s">
        <v>43</v>
      </c>
      <c r="G5" s="31" t="s">
        <v>168</v>
      </c>
      <c r="H5" s="31" t="s">
        <v>169</v>
      </c>
    </row>
    <row r="6" spans="2:8" ht="153" customHeight="1" x14ac:dyDescent="0.35">
      <c r="B6" s="55" t="s">
        <v>79</v>
      </c>
      <c r="C6" s="50" t="s">
        <v>250</v>
      </c>
      <c r="D6" s="27" t="s">
        <v>251</v>
      </c>
      <c r="E6" s="27" t="s">
        <v>70</v>
      </c>
      <c r="F6" s="27" t="s">
        <v>252</v>
      </c>
      <c r="G6" s="27" t="s">
        <v>253</v>
      </c>
      <c r="H6" s="27" t="s">
        <v>254</v>
      </c>
    </row>
    <row r="7" spans="2:8" ht="135.75" customHeight="1" x14ac:dyDescent="0.35">
      <c r="B7" s="55" t="s">
        <v>79</v>
      </c>
      <c r="C7" s="50" t="s">
        <v>255</v>
      </c>
      <c r="D7" s="27" t="s">
        <v>256</v>
      </c>
      <c r="E7" s="51" t="s">
        <v>257</v>
      </c>
      <c r="F7" s="27" t="s">
        <v>258</v>
      </c>
      <c r="G7" s="27" t="s">
        <v>259</v>
      </c>
      <c r="H7" s="27" t="s">
        <v>260</v>
      </c>
    </row>
  </sheetData>
  <autoFilter ref="B5:H7" xr:uid="{00000000-0009-0000-0000-000009000000}"/>
  <mergeCells count="1">
    <mergeCell ref="B2:C2"/>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7"/>
  <sheetViews>
    <sheetView zoomScale="90" zoomScaleNormal="90" workbookViewId="0">
      <selection activeCell="B6" sqref="B6"/>
    </sheetView>
  </sheetViews>
  <sheetFormatPr defaultColWidth="8.81640625" defaultRowHeight="14.5" x14ac:dyDescent="0.35"/>
  <cols>
    <col min="2" max="2" width="27.453125" customWidth="1"/>
    <col min="3" max="3" width="30.453125" customWidth="1"/>
    <col min="4" max="4" width="44.453125" customWidth="1"/>
    <col min="5" max="5" width="30.81640625" customWidth="1"/>
    <col min="6" max="6" width="42.1796875" hidden="1" customWidth="1"/>
    <col min="7" max="7" width="46.453125" hidden="1" customWidth="1"/>
    <col min="8" max="8" width="42" hidden="1" customWidth="1"/>
  </cols>
  <sheetData>
    <row r="1" spans="2:8" ht="15" customHeight="1" x14ac:dyDescent="0.35"/>
    <row r="2" spans="2:8" ht="24" customHeight="1" x14ac:dyDescent="0.55000000000000004">
      <c r="B2" s="89" t="s">
        <v>30</v>
      </c>
      <c r="C2" s="89"/>
    </row>
    <row r="3" spans="2:8" ht="15" customHeight="1" x14ac:dyDescent="0.35">
      <c r="B3" s="47" t="s">
        <v>28</v>
      </c>
      <c r="C3" s="48" t="s">
        <v>29</v>
      </c>
    </row>
    <row r="5" spans="2:8" ht="14.25" customHeight="1" x14ac:dyDescent="0.35">
      <c r="B5" s="31" t="s">
        <v>104</v>
      </c>
      <c r="C5" s="31" t="s">
        <v>105</v>
      </c>
      <c r="D5" s="31" t="s">
        <v>41</v>
      </c>
      <c r="E5" s="31" t="s">
        <v>42</v>
      </c>
      <c r="F5" s="31" t="s">
        <v>43</v>
      </c>
      <c r="G5" s="31" t="s">
        <v>168</v>
      </c>
      <c r="H5" s="31" t="s">
        <v>169</v>
      </c>
    </row>
    <row r="6" spans="2:8" ht="261" customHeight="1" x14ac:dyDescent="0.35">
      <c r="B6" s="56" t="s">
        <v>79</v>
      </c>
      <c r="C6" s="26" t="s">
        <v>261</v>
      </c>
      <c r="D6" s="27" t="s">
        <v>262</v>
      </c>
      <c r="E6" s="27" t="s">
        <v>70</v>
      </c>
      <c r="F6" s="27" t="s">
        <v>263</v>
      </c>
      <c r="G6" s="27" t="s">
        <v>264</v>
      </c>
      <c r="H6" s="27" t="s">
        <v>265</v>
      </c>
    </row>
    <row r="7" spans="2:8" ht="159.75" customHeight="1" x14ac:dyDescent="0.35">
      <c r="B7" s="56" t="s">
        <v>79</v>
      </c>
      <c r="C7" s="26" t="s">
        <v>266</v>
      </c>
      <c r="D7" s="27" t="s">
        <v>267</v>
      </c>
      <c r="E7" s="27" t="s">
        <v>70</v>
      </c>
      <c r="F7" s="27" t="s">
        <v>268</v>
      </c>
      <c r="G7" s="27" t="s">
        <v>269</v>
      </c>
      <c r="H7" s="27" t="s">
        <v>270</v>
      </c>
    </row>
  </sheetData>
  <autoFilter ref="B5:H6" xr:uid="{00000000-0009-0000-0000-00000A000000}"/>
  <mergeCells count="1">
    <mergeCell ref="B2:C2"/>
  </mergeCells>
  <pageMargins left="0.7" right="0.7" top="0.75" bottom="0.75" header="0.511811023622047" footer="0.511811023622047"/>
  <pageSetup paperSize="9"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18"/>
  <sheetViews>
    <sheetView topLeftCell="A8" zoomScale="70" zoomScaleNormal="70" workbookViewId="0">
      <selection activeCell="C14" sqref="C14"/>
    </sheetView>
  </sheetViews>
  <sheetFormatPr defaultColWidth="8.81640625" defaultRowHeight="14.5" x14ac:dyDescent="0.35"/>
  <cols>
    <col min="2" max="2" width="21.453125" customWidth="1"/>
    <col min="3" max="3" width="41.453125" customWidth="1"/>
    <col min="4" max="4" width="34.81640625" customWidth="1"/>
    <col min="5" max="5" width="43.54296875" customWidth="1"/>
    <col min="6" max="6" width="40.1796875" customWidth="1"/>
    <col min="7" max="7" width="40.453125" customWidth="1"/>
    <col min="8" max="8" width="34.453125" customWidth="1"/>
    <col min="10" max="10" width="62.1796875" customWidth="1"/>
  </cols>
  <sheetData>
    <row r="1" spans="2:11" ht="15" customHeight="1" x14ac:dyDescent="0.35"/>
    <row r="2" spans="2:11" ht="24" customHeight="1" x14ac:dyDescent="0.55000000000000004">
      <c r="B2" s="89" t="s">
        <v>32</v>
      </c>
      <c r="C2" s="89"/>
    </row>
    <row r="3" spans="2:11" ht="15" customHeight="1" x14ac:dyDescent="0.35">
      <c r="B3" s="47" t="s">
        <v>34</v>
      </c>
      <c r="C3" s="48" t="s">
        <v>6</v>
      </c>
    </row>
    <row r="5" spans="2:11" ht="14.25" customHeight="1" x14ac:dyDescent="0.35">
      <c r="B5" s="31" t="s">
        <v>104</v>
      </c>
      <c r="C5" s="31" t="s">
        <v>105</v>
      </c>
      <c r="D5" s="31" t="s">
        <v>41</v>
      </c>
      <c r="E5" s="31" t="s">
        <v>42</v>
      </c>
      <c r="F5" s="31" t="s">
        <v>43</v>
      </c>
      <c r="G5" s="31" t="s">
        <v>168</v>
      </c>
      <c r="H5" s="31" t="s">
        <v>169</v>
      </c>
      <c r="J5" s="57" t="s">
        <v>271</v>
      </c>
    </row>
    <row r="6" spans="2:11" ht="115.5" customHeight="1" x14ac:dyDescent="0.35">
      <c r="B6" s="49" t="s">
        <v>49</v>
      </c>
      <c r="C6" s="50" t="s">
        <v>272</v>
      </c>
      <c r="D6" s="27" t="s">
        <v>273</v>
      </c>
      <c r="E6" s="51" t="s">
        <v>274</v>
      </c>
      <c r="F6" s="46" t="s">
        <v>275</v>
      </c>
      <c r="G6" s="51" t="s">
        <v>54</v>
      </c>
      <c r="H6" s="51" t="s">
        <v>54</v>
      </c>
      <c r="J6" s="20" t="s">
        <v>276</v>
      </c>
    </row>
    <row r="7" spans="2:11" ht="115.5" customHeight="1" x14ac:dyDescent="0.35">
      <c r="B7" s="49" t="s">
        <v>49</v>
      </c>
      <c r="C7" s="50" t="s">
        <v>277</v>
      </c>
      <c r="D7" s="27" t="s">
        <v>278</v>
      </c>
      <c r="E7" s="51" t="s">
        <v>279</v>
      </c>
      <c r="F7" s="51" t="s">
        <v>280</v>
      </c>
      <c r="G7" s="51" t="s">
        <v>54</v>
      </c>
      <c r="H7" s="51" t="s">
        <v>54</v>
      </c>
      <c r="J7" s="20" t="s">
        <v>281</v>
      </c>
    </row>
    <row r="8" spans="2:11" ht="115.5" customHeight="1" x14ac:dyDescent="0.35">
      <c r="B8" s="49" t="s">
        <v>49</v>
      </c>
      <c r="C8" s="26" t="s">
        <v>282</v>
      </c>
      <c r="D8" s="27" t="s">
        <v>283</v>
      </c>
      <c r="E8" s="51" t="s">
        <v>70</v>
      </c>
      <c r="F8" s="46" t="s">
        <v>275</v>
      </c>
      <c r="G8" s="51" t="s">
        <v>54</v>
      </c>
      <c r="H8" s="51" t="s">
        <v>54</v>
      </c>
      <c r="J8" s="20" t="s">
        <v>284</v>
      </c>
      <c r="K8" t="s">
        <v>285</v>
      </c>
    </row>
    <row r="9" spans="2:11" ht="73.5" customHeight="1" x14ac:dyDescent="0.35">
      <c r="B9" s="49" t="s">
        <v>49</v>
      </c>
      <c r="C9" s="58" t="s">
        <v>286</v>
      </c>
      <c r="D9" s="46" t="s">
        <v>287</v>
      </c>
      <c r="E9" s="51" t="s">
        <v>279</v>
      </c>
      <c r="F9" s="46" t="s">
        <v>288</v>
      </c>
      <c r="G9" s="59" t="s">
        <v>54</v>
      </c>
      <c r="H9" s="59" t="s">
        <v>54</v>
      </c>
      <c r="J9" s="20" t="s">
        <v>289</v>
      </c>
      <c r="K9" t="s">
        <v>290</v>
      </c>
    </row>
    <row r="10" spans="2:11" ht="123" customHeight="1" x14ac:dyDescent="0.35">
      <c r="B10" s="55" t="s">
        <v>79</v>
      </c>
      <c r="C10" s="58" t="s">
        <v>291</v>
      </c>
      <c r="D10" s="46" t="s">
        <v>292</v>
      </c>
      <c r="E10" s="46" t="s">
        <v>70</v>
      </c>
      <c r="F10" s="46" t="s">
        <v>293</v>
      </c>
      <c r="G10" s="46" t="s">
        <v>294</v>
      </c>
      <c r="H10" s="46" t="s">
        <v>295</v>
      </c>
    </row>
    <row r="11" spans="2:11" ht="127.5" customHeight="1" x14ac:dyDescent="0.35">
      <c r="B11" s="55" t="s">
        <v>79</v>
      </c>
      <c r="C11" s="58" t="s">
        <v>296</v>
      </c>
      <c r="D11" s="46" t="s">
        <v>297</v>
      </c>
      <c r="E11" s="46" t="s">
        <v>70</v>
      </c>
      <c r="F11" s="46" t="s">
        <v>298</v>
      </c>
      <c r="G11" s="46" t="s">
        <v>299</v>
      </c>
      <c r="H11" s="46" t="s">
        <v>300</v>
      </c>
    </row>
    <row r="12" spans="2:11" ht="122.25" customHeight="1" x14ac:dyDescent="0.35">
      <c r="B12" s="55" t="s">
        <v>79</v>
      </c>
      <c r="C12" s="58" t="s">
        <v>301</v>
      </c>
      <c r="D12" s="46" t="s">
        <v>302</v>
      </c>
      <c r="E12" s="46" t="s">
        <v>70</v>
      </c>
      <c r="F12" s="46" t="s">
        <v>303</v>
      </c>
      <c r="G12" s="46" t="s">
        <v>304</v>
      </c>
      <c r="H12" s="46" t="s">
        <v>305</v>
      </c>
    </row>
    <row r="13" spans="2:11" ht="133.5" customHeight="1" x14ac:dyDescent="0.35">
      <c r="B13" s="55" t="s">
        <v>79</v>
      </c>
      <c r="C13" s="58" t="s">
        <v>306</v>
      </c>
      <c r="D13" s="46" t="s">
        <v>307</v>
      </c>
      <c r="E13" s="46" t="s">
        <v>70</v>
      </c>
      <c r="F13" s="46" t="s">
        <v>308</v>
      </c>
      <c r="G13" s="46" t="s">
        <v>309</v>
      </c>
      <c r="H13" s="46" t="s">
        <v>310</v>
      </c>
    </row>
    <row r="15" spans="2:11" ht="14.25" customHeight="1" x14ac:dyDescent="0.35">
      <c r="C15" s="19"/>
    </row>
    <row r="16" spans="2:11" ht="14.25" customHeight="1" x14ac:dyDescent="0.35">
      <c r="C16" s="19"/>
    </row>
    <row r="17" spans="3:3" ht="14.25" customHeight="1" x14ac:dyDescent="0.35">
      <c r="C17" s="19"/>
    </row>
    <row r="18" spans="3:3" ht="14.25" customHeight="1" x14ac:dyDescent="0.35">
      <c r="C18" s="19"/>
    </row>
  </sheetData>
  <autoFilter ref="B5:H13" xr:uid="{00000000-0009-0000-0000-00000B000000}"/>
  <mergeCells count="1">
    <mergeCell ref="B2:C2"/>
  </mergeCells>
  <pageMargins left="0.7" right="0.7" top="0.75" bottom="0.75"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I403"/>
  <sheetViews>
    <sheetView zoomScaleNormal="100" workbookViewId="0"/>
  </sheetViews>
  <sheetFormatPr defaultColWidth="8.81640625" defaultRowHeight="14.5" x14ac:dyDescent="0.35"/>
  <cols>
    <col min="2" max="2" width="25.1796875" customWidth="1"/>
    <col min="3" max="3" width="33.453125" customWidth="1"/>
    <col min="4" max="4" width="23" customWidth="1"/>
    <col min="5" max="5" width="27.54296875" customWidth="1"/>
    <col min="6" max="6" width="22.453125" customWidth="1"/>
    <col min="7" max="7" width="32.453125" customWidth="1"/>
    <col min="8" max="8" width="31.1796875" customWidth="1"/>
  </cols>
  <sheetData>
    <row r="2" spans="2:9" ht="14.25" customHeight="1" x14ac:dyDescent="0.35">
      <c r="B2" s="19" t="s">
        <v>311</v>
      </c>
    </row>
    <row r="4" spans="2:9" ht="14.25" customHeight="1" x14ac:dyDescent="0.35">
      <c r="B4" s="19" t="s">
        <v>312</v>
      </c>
      <c r="C4" s="19" t="s">
        <v>313</v>
      </c>
      <c r="D4" s="19" t="s">
        <v>314</v>
      </c>
      <c r="E4" s="19" t="s">
        <v>315</v>
      </c>
      <c r="F4" s="19" t="s">
        <v>316</v>
      </c>
    </row>
    <row r="5" spans="2:9" ht="14.25" customHeight="1" x14ac:dyDescent="0.35">
      <c r="B5" t="s">
        <v>317</v>
      </c>
      <c r="C5" t="s">
        <v>318</v>
      </c>
      <c r="D5" t="s">
        <v>319</v>
      </c>
      <c r="E5" t="s">
        <v>320</v>
      </c>
      <c r="F5" t="s">
        <v>321</v>
      </c>
    </row>
    <row r="6" spans="2:9" ht="14.25" customHeight="1" x14ac:dyDescent="0.35">
      <c r="B6" t="s">
        <v>18</v>
      </c>
      <c r="C6" t="s">
        <v>322</v>
      </c>
      <c r="D6" t="s">
        <v>24</v>
      </c>
      <c r="E6" t="s">
        <v>323</v>
      </c>
      <c r="F6" t="s">
        <v>324</v>
      </c>
    </row>
    <row r="7" spans="2:9" ht="14.25" customHeight="1" x14ac:dyDescent="0.35">
      <c r="B7" t="s">
        <v>18</v>
      </c>
      <c r="C7" t="s">
        <v>325</v>
      </c>
      <c r="D7" t="s">
        <v>326</v>
      </c>
      <c r="E7" t="s">
        <v>327</v>
      </c>
      <c r="F7" t="s">
        <v>328</v>
      </c>
    </row>
    <row r="8" spans="2:9" ht="14.25" customHeight="1" x14ac:dyDescent="0.35">
      <c r="B8" t="s">
        <v>329</v>
      </c>
      <c r="C8" t="s">
        <v>330</v>
      </c>
      <c r="D8" t="s">
        <v>331</v>
      </c>
      <c r="E8" t="s">
        <v>332</v>
      </c>
      <c r="F8" t="s">
        <v>333</v>
      </c>
    </row>
    <row r="9" spans="2:9" ht="14.25" customHeight="1" x14ac:dyDescent="0.35">
      <c r="B9" t="s">
        <v>334</v>
      </c>
      <c r="C9" t="s">
        <v>335</v>
      </c>
      <c r="D9" t="s">
        <v>336</v>
      </c>
      <c r="E9" t="s">
        <v>337</v>
      </c>
      <c r="F9" t="s">
        <v>338</v>
      </c>
    </row>
    <row r="12" spans="2:9" ht="17.25" customHeight="1" x14ac:dyDescent="0.4">
      <c r="B12" s="90" t="s">
        <v>339</v>
      </c>
      <c r="C12" s="90"/>
    </row>
    <row r="14" spans="2:9" ht="14.25" customHeight="1" x14ac:dyDescent="0.35">
      <c r="B14" s="19" t="s">
        <v>340</v>
      </c>
      <c r="C14" s="19" t="s">
        <v>341</v>
      </c>
      <c r="D14" s="19" t="s">
        <v>342</v>
      </c>
      <c r="E14" s="19" t="s">
        <v>343</v>
      </c>
      <c r="F14" s="19" t="s">
        <v>344</v>
      </c>
      <c r="G14" s="19" t="s">
        <v>345</v>
      </c>
      <c r="H14" s="19" t="s">
        <v>346</v>
      </c>
      <c r="I14" s="19" t="s">
        <v>347</v>
      </c>
    </row>
    <row r="15" spans="2:9" ht="87" customHeight="1" x14ac:dyDescent="0.35">
      <c r="B15" t="s">
        <v>3</v>
      </c>
      <c r="C15" t="s">
        <v>50</v>
      </c>
      <c r="D15" s="20" t="s">
        <v>348</v>
      </c>
      <c r="F15" t="s">
        <v>349</v>
      </c>
      <c r="G15" t="s">
        <v>350</v>
      </c>
      <c r="H15" t="s">
        <v>351</v>
      </c>
      <c r="I15" t="s">
        <v>352</v>
      </c>
    </row>
    <row r="16" spans="2:9" ht="144.75" customHeight="1" x14ac:dyDescent="0.35">
      <c r="B16" t="s">
        <v>3</v>
      </c>
      <c r="C16" t="s">
        <v>56</v>
      </c>
      <c r="D16" s="20" t="s">
        <v>353</v>
      </c>
      <c r="E16" t="s">
        <v>354</v>
      </c>
      <c r="G16" t="s">
        <v>355</v>
      </c>
      <c r="H16" t="s">
        <v>356</v>
      </c>
      <c r="I16" t="s">
        <v>357</v>
      </c>
    </row>
    <row r="17" spans="2:9" ht="231.75" customHeight="1" x14ac:dyDescent="0.35">
      <c r="B17" t="s">
        <v>3</v>
      </c>
      <c r="C17" t="s">
        <v>62</v>
      </c>
      <c r="D17" s="20" t="s">
        <v>358</v>
      </c>
      <c r="E17" t="s">
        <v>359</v>
      </c>
      <c r="F17" t="s">
        <v>360</v>
      </c>
      <c r="G17" t="s">
        <v>361</v>
      </c>
      <c r="H17" t="s">
        <v>362</v>
      </c>
      <c r="I17" t="s">
        <v>363</v>
      </c>
    </row>
    <row r="18" spans="2:9" ht="231.75" customHeight="1" x14ac:dyDescent="0.35">
      <c r="B18" t="s">
        <v>3</v>
      </c>
      <c r="C18" t="s">
        <v>68</v>
      </c>
      <c r="D18" s="20" t="s">
        <v>364</v>
      </c>
      <c r="E18" t="s">
        <v>365</v>
      </c>
      <c r="F18" t="s">
        <v>366</v>
      </c>
      <c r="G18" t="s">
        <v>367</v>
      </c>
      <c r="H18" t="s">
        <v>368</v>
      </c>
      <c r="I18" t="s">
        <v>369</v>
      </c>
    </row>
    <row r="19" spans="2:9" ht="115.5" customHeight="1" x14ac:dyDescent="0.35">
      <c r="B19" t="s">
        <v>3</v>
      </c>
      <c r="C19" t="s">
        <v>74</v>
      </c>
      <c r="D19" s="20" t="s">
        <v>370</v>
      </c>
      <c r="F19" t="s">
        <v>371</v>
      </c>
      <c r="G19" t="s">
        <v>372</v>
      </c>
      <c r="H19" t="s">
        <v>373</v>
      </c>
      <c r="I19" t="s">
        <v>374</v>
      </c>
    </row>
    <row r="20" spans="2:9" ht="188.25" customHeight="1" x14ac:dyDescent="0.35">
      <c r="B20" t="s">
        <v>3</v>
      </c>
      <c r="C20" t="s">
        <v>375</v>
      </c>
      <c r="D20" s="20" t="s">
        <v>376</v>
      </c>
      <c r="E20" t="s">
        <v>377</v>
      </c>
      <c r="G20" t="s">
        <v>378</v>
      </c>
      <c r="H20" t="s">
        <v>379</v>
      </c>
      <c r="I20" t="s">
        <v>380</v>
      </c>
    </row>
    <row r="21" spans="2:9" ht="188.25" customHeight="1" x14ac:dyDescent="0.35">
      <c r="B21" t="s">
        <v>3</v>
      </c>
      <c r="C21" t="s">
        <v>86</v>
      </c>
      <c r="D21" s="20" t="s">
        <v>381</v>
      </c>
      <c r="E21" t="s">
        <v>382</v>
      </c>
      <c r="G21" t="s">
        <v>383</v>
      </c>
      <c r="H21" t="s">
        <v>384</v>
      </c>
      <c r="I21" t="s">
        <v>385</v>
      </c>
    </row>
    <row r="22" spans="2:9" ht="289.5" customHeight="1" x14ac:dyDescent="0.35">
      <c r="B22" t="s">
        <v>3</v>
      </c>
      <c r="C22" t="s">
        <v>386</v>
      </c>
      <c r="D22" s="20" t="s">
        <v>387</v>
      </c>
      <c r="E22" t="s">
        <v>388</v>
      </c>
      <c r="F22" t="s">
        <v>389</v>
      </c>
      <c r="G22" t="s">
        <v>390</v>
      </c>
      <c r="H22" t="s">
        <v>391</v>
      </c>
      <c r="I22" t="s">
        <v>392</v>
      </c>
    </row>
    <row r="23" spans="2:9" ht="14.25" customHeight="1" x14ac:dyDescent="0.35">
      <c r="B23" t="s">
        <v>3</v>
      </c>
      <c r="C23" t="s">
        <v>393</v>
      </c>
      <c r="D23" s="20"/>
      <c r="G23" t="s">
        <v>394</v>
      </c>
      <c r="H23" t="s">
        <v>395</v>
      </c>
      <c r="I23" t="s">
        <v>396</v>
      </c>
    </row>
    <row r="24" spans="2:9" ht="188.25" customHeight="1" x14ac:dyDescent="0.35">
      <c r="B24" t="s">
        <v>3</v>
      </c>
      <c r="C24" t="s">
        <v>397</v>
      </c>
      <c r="D24" s="20" t="s">
        <v>398</v>
      </c>
      <c r="F24" t="s">
        <v>399</v>
      </c>
      <c r="G24" t="s">
        <v>400</v>
      </c>
      <c r="H24" t="s">
        <v>401</v>
      </c>
      <c r="I24" t="s">
        <v>402</v>
      </c>
    </row>
    <row r="25" spans="2:9" ht="202.5" customHeight="1" x14ac:dyDescent="0.35">
      <c r="B25" t="s">
        <v>3</v>
      </c>
      <c r="C25" t="s">
        <v>92</v>
      </c>
      <c r="D25" s="20" t="s">
        <v>403</v>
      </c>
      <c r="F25" t="s">
        <v>404</v>
      </c>
      <c r="G25" t="s">
        <v>405</v>
      </c>
      <c r="H25" t="s">
        <v>406</v>
      </c>
      <c r="I25" t="s">
        <v>407</v>
      </c>
    </row>
    <row r="26" spans="2:9" ht="144.75" customHeight="1" x14ac:dyDescent="0.35">
      <c r="B26" t="s">
        <v>3</v>
      </c>
      <c r="C26" t="s">
        <v>408</v>
      </c>
      <c r="D26" s="20" t="s">
        <v>409</v>
      </c>
      <c r="E26" t="s">
        <v>410</v>
      </c>
      <c r="G26" t="s">
        <v>411</v>
      </c>
      <c r="H26" t="s">
        <v>412</v>
      </c>
      <c r="I26" t="s">
        <v>413</v>
      </c>
    </row>
    <row r="27" spans="2:9" ht="115.5" customHeight="1" x14ac:dyDescent="0.35">
      <c r="B27" t="s">
        <v>3</v>
      </c>
      <c r="C27" t="s">
        <v>414</v>
      </c>
      <c r="D27" s="20" t="s">
        <v>415</v>
      </c>
      <c r="E27" t="s">
        <v>416</v>
      </c>
      <c r="F27" t="s">
        <v>417</v>
      </c>
      <c r="G27" t="s">
        <v>418</v>
      </c>
      <c r="H27" t="s">
        <v>419</v>
      </c>
      <c r="I27" t="s">
        <v>420</v>
      </c>
    </row>
    <row r="28" spans="2:9" ht="14.25" customHeight="1" x14ac:dyDescent="0.35">
      <c r="B28" t="s">
        <v>7</v>
      </c>
      <c r="C28" t="s">
        <v>421</v>
      </c>
      <c r="D28" s="20"/>
      <c r="E28" t="s">
        <v>422</v>
      </c>
      <c r="G28" t="s">
        <v>423</v>
      </c>
      <c r="H28" t="s">
        <v>424</v>
      </c>
      <c r="I28" t="s">
        <v>425</v>
      </c>
    </row>
    <row r="29" spans="2:9" ht="14.25" customHeight="1" x14ac:dyDescent="0.35">
      <c r="B29" t="s">
        <v>7</v>
      </c>
      <c r="C29" t="s">
        <v>426</v>
      </c>
      <c r="D29" s="20"/>
      <c r="E29" t="s">
        <v>427</v>
      </c>
      <c r="F29" t="s">
        <v>428</v>
      </c>
      <c r="G29" t="s">
        <v>429</v>
      </c>
      <c r="H29" t="s">
        <v>430</v>
      </c>
      <c r="I29" t="s">
        <v>431</v>
      </c>
    </row>
    <row r="30" spans="2:9" ht="72" customHeight="1" x14ac:dyDescent="0.35">
      <c r="B30" t="s">
        <v>7</v>
      </c>
      <c r="C30" t="s">
        <v>432</v>
      </c>
      <c r="D30" s="20" t="s">
        <v>433</v>
      </c>
      <c r="E30" t="s">
        <v>434</v>
      </c>
      <c r="G30" t="s">
        <v>435</v>
      </c>
      <c r="H30" t="s">
        <v>436</v>
      </c>
      <c r="I30" t="s">
        <v>437</v>
      </c>
    </row>
    <row r="31" spans="2:9" ht="87" customHeight="1" x14ac:dyDescent="0.35">
      <c r="B31" t="s">
        <v>7</v>
      </c>
      <c r="C31" t="s">
        <v>438</v>
      </c>
      <c r="D31" s="20" t="s">
        <v>439</v>
      </c>
      <c r="E31" t="s">
        <v>440</v>
      </c>
      <c r="F31" t="s">
        <v>441</v>
      </c>
      <c r="G31" t="s">
        <v>442</v>
      </c>
      <c r="H31" t="s">
        <v>443</v>
      </c>
      <c r="I31" t="s">
        <v>444</v>
      </c>
    </row>
    <row r="32" spans="2:9" ht="72" customHeight="1" x14ac:dyDescent="0.35">
      <c r="B32" t="s">
        <v>7</v>
      </c>
      <c r="C32" t="s">
        <v>445</v>
      </c>
      <c r="D32" s="20" t="s">
        <v>446</v>
      </c>
      <c r="E32" t="s">
        <v>447</v>
      </c>
      <c r="G32" t="s">
        <v>448</v>
      </c>
      <c r="H32" t="s">
        <v>449</v>
      </c>
      <c r="I32" t="s">
        <v>450</v>
      </c>
    </row>
    <row r="33" spans="2:9" ht="318.75" customHeight="1" x14ac:dyDescent="0.35">
      <c r="B33" t="s">
        <v>7</v>
      </c>
      <c r="C33" t="s">
        <v>137</v>
      </c>
      <c r="D33" s="20" t="s">
        <v>451</v>
      </c>
      <c r="E33" t="s">
        <v>452</v>
      </c>
      <c r="G33" t="s">
        <v>453</v>
      </c>
      <c r="H33" t="s">
        <v>454</v>
      </c>
      <c r="I33" t="s">
        <v>455</v>
      </c>
    </row>
    <row r="34" spans="2:9" ht="57.75" customHeight="1" x14ac:dyDescent="0.35">
      <c r="B34" t="s">
        <v>7</v>
      </c>
      <c r="C34" t="s">
        <v>143</v>
      </c>
      <c r="D34" s="20" t="s">
        <v>456</v>
      </c>
      <c r="E34" t="s">
        <v>457</v>
      </c>
      <c r="G34" t="s">
        <v>458</v>
      </c>
      <c r="H34" t="s">
        <v>459</v>
      </c>
      <c r="I34" t="s">
        <v>460</v>
      </c>
    </row>
    <row r="35" spans="2:9" ht="14.25" customHeight="1" x14ac:dyDescent="0.35">
      <c r="B35" t="s">
        <v>11</v>
      </c>
      <c r="C35" t="s">
        <v>461</v>
      </c>
      <c r="D35" s="20"/>
      <c r="E35" t="s">
        <v>462</v>
      </c>
      <c r="G35" t="s">
        <v>463</v>
      </c>
      <c r="H35" t="s">
        <v>464</v>
      </c>
      <c r="I35" t="s">
        <v>465</v>
      </c>
    </row>
    <row r="36" spans="2:9" ht="159" customHeight="1" x14ac:dyDescent="0.35">
      <c r="B36" t="s">
        <v>11</v>
      </c>
      <c r="C36" t="s">
        <v>466</v>
      </c>
      <c r="D36" s="20" t="s">
        <v>467</v>
      </c>
      <c r="E36" t="s">
        <v>468</v>
      </c>
      <c r="G36" t="s">
        <v>469</v>
      </c>
      <c r="H36" t="s">
        <v>470</v>
      </c>
      <c r="I36" t="s">
        <v>471</v>
      </c>
    </row>
    <row r="37" spans="2:9" ht="246" customHeight="1" x14ac:dyDescent="0.35">
      <c r="B37" t="s">
        <v>11</v>
      </c>
      <c r="C37" t="s">
        <v>472</v>
      </c>
      <c r="D37" s="20" t="s">
        <v>473</v>
      </c>
      <c r="E37" t="s">
        <v>474</v>
      </c>
      <c r="G37" t="s">
        <v>475</v>
      </c>
      <c r="H37" t="s">
        <v>476</v>
      </c>
      <c r="I37" t="s">
        <v>477</v>
      </c>
    </row>
    <row r="38" spans="2:9" ht="87" customHeight="1" x14ac:dyDescent="0.35">
      <c r="B38" t="s">
        <v>11</v>
      </c>
      <c r="C38" t="s">
        <v>478</v>
      </c>
      <c r="D38" s="20" t="s">
        <v>479</v>
      </c>
      <c r="E38" t="s">
        <v>480</v>
      </c>
      <c r="F38" t="s">
        <v>481</v>
      </c>
      <c r="G38" t="s">
        <v>482</v>
      </c>
      <c r="H38" t="s">
        <v>483</v>
      </c>
      <c r="I38" t="s">
        <v>484</v>
      </c>
    </row>
    <row r="39" spans="2:9" ht="14.25" customHeight="1" x14ac:dyDescent="0.35">
      <c r="B39" t="s">
        <v>11</v>
      </c>
      <c r="C39" t="s">
        <v>485</v>
      </c>
      <c r="D39" s="20"/>
      <c r="E39" t="s">
        <v>486</v>
      </c>
      <c r="G39" t="s">
        <v>487</v>
      </c>
      <c r="H39" t="s">
        <v>488</v>
      </c>
      <c r="I39" t="s">
        <v>489</v>
      </c>
    </row>
    <row r="40" spans="2:9" ht="14.25" customHeight="1" x14ac:dyDescent="0.35">
      <c r="B40" t="s">
        <v>490</v>
      </c>
      <c r="C40" t="s">
        <v>170</v>
      </c>
      <c r="D40" s="20"/>
      <c r="F40" t="s">
        <v>491</v>
      </c>
      <c r="G40" t="s">
        <v>492</v>
      </c>
      <c r="H40" t="s">
        <v>493</v>
      </c>
      <c r="I40" t="s">
        <v>494</v>
      </c>
    </row>
    <row r="41" spans="2:9" ht="72" customHeight="1" x14ac:dyDescent="0.35">
      <c r="B41" t="s">
        <v>490</v>
      </c>
      <c r="C41" t="s">
        <v>495</v>
      </c>
      <c r="D41" s="20" t="s">
        <v>496</v>
      </c>
      <c r="E41" t="s">
        <v>497</v>
      </c>
      <c r="G41" t="s">
        <v>498</v>
      </c>
      <c r="H41" t="s">
        <v>499</v>
      </c>
      <c r="I41" t="s">
        <v>500</v>
      </c>
    </row>
    <row r="42" spans="2:9" ht="14.25" customHeight="1" x14ac:dyDescent="0.35">
      <c r="B42" t="s">
        <v>490</v>
      </c>
      <c r="C42" t="s">
        <v>501</v>
      </c>
      <c r="D42" s="20"/>
      <c r="E42" t="s">
        <v>502</v>
      </c>
      <c r="G42" t="s">
        <v>503</v>
      </c>
      <c r="H42" t="s">
        <v>504</v>
      </c>
      <c r="I42" t="s">
        <v>505</v>
      </c>
    </row>
    <row r="43" spans="2:9" ht="14.25" customHeight="1" x14ac:dyDescent="0.35">
      <c r="B43" t="s">
        <v>490</v>
      </c>
      <c r="C43" t="s">
        <v>506</v>
      </c>
      <c r="D43" s="20"/>
      <c r="F43" t="s">
        <v>507</v>
      </c>
      <c r="G43" t="s">
        <v>508</v>
      </c>
      <c r="H43" t="s">
        <v>509</v>
      </c>
      <c r="I43" t="s">
        <v>510</v>
      </c>
    </row>
    <row r="44" spans="2:9" ht="101.25" customHeight="1" x14ac:dyDescent="0.35">
      <c r="B44" t="s">
        <v>18</v>
      </c>
      <c r="C44" t="s">
        <v>511</v>
      </c>
      <c r="D44" s="20" t="s">
        <v>512</v>
      </c>
      <c r="F44" t="s">
        <v>513</v>
      </c>
      <c r="G44" t="s">
        <v>514</v>
      </c>
      <c r="H44" t="s">
        <v>515</v>
      </c>
      <c r="I44" t="s">
        <v>516</v>
      </c>
    </row>
    <row r="45" spans="2:9" ht="130.5" customHeight="1" x14ac:dyDescent="0.35">
      <c r="B45" t="s">
        <v>18</v>
      </c>
      <c r="C45" t="s">
        <v>517</v>
      </c>
      <c r="D45" s="20" t="s">
        <v>518</v>
      </c>
      <c r="F45" t="s">
        <v>519</v>
      </c>
      <c r="G45" t="s">
        <v>520</v>
      </c>
      <c r="H45" t="s">
        <v>521</v>
      </c>
      <c r="I45" t="s">
        <v>522</v>
      </c>
    </row>
    <row r="46" spans="2:9" ht="57.75" customHeight="1" x14ac:dyDescent="0.35">
      <c r="B46" t="s">
        <v>18</v>
      </c>
      <c r="C46" t="s">
        <v>523</v>
      </c>
      <c r="D46" s="20" t="s">
        <v>524</v>
      </c>
      <c r="G46" t="s">
        <v>525</v>
      </c>
      <c r="H46" t="s">
        <v>526</v>
      </c>
      <c r="I46" t="s">
        <v>527</v>
      </c>
    </row>
    <row r="47" spans="2:9" ht="57.75" customHeight="1" x14ac:dyDescent="0.35">
      <c r="B47" t="s">
        <v>21</v>
      </c>
      <c r="C47" t="s">
        <v>528</v>
      </c>
      <c r="D47" s="20" t="s">
        <v>529</v>
      </c>
      <c r="E47" t="s">
        <v>530</v>
      </c>
      <c r="F47" t="s">
        <v>531</v>
      </c>
      <c r="G47" t="s">
        <v>532</v>
      </c>
      <c r="H47" t="s">
        <v>533</v>
      </c>
      <c r="I47" t="s">
        <v>534</v>
      </c>
    </row>
    <row r="48" spans="2:9" ht="43.5" customHeight="1" x14ac:dyDescent="0.35">
      <c r="B48" t="s">
        <v>21</v>
      </c>
      <c r="C48" t="s">
        <v>535</v>
      </c>
      <c r="D48" s="20" t="s">
        <v>536</v>
      </c>
      <c r="E48" t="s">
        <v>537</v>
      </c>
      <c r="G48" t="s">
        <v>206</v>
      </c>
      <c r="H48" t="s">
        <v>538</v>
      </c>
      <c r="I48" t="s">
        <v>539</v>
      </c>
    </row>
    <row r="49" spans="2:9" ht="57.75" customHeight="1" x14ac:dyDescent="0.35">
      <c r="B49" t="s">
        <v>21</v>
      </c>
      <c r="C49" t="s">
        <v>540</v>
      </c>
      <c r="D49" s="20" t="s">
        <v>541</v>
      </c>
      <c r="E49" t="s">
        <v>542</v>
      </c>
      <c r="G49" t="s">
        <v>211</v>
      </c>
      <c r="H49" t="s">
        <v>543</v>
      </c>
      <c r="I49" t="s">
        <v>544</v>
      </c>
    </row>
    <row r="50" spans="2:9" ht="115.5" customHeight="1" x14ac:dyDescent="0.35">
      <c r="B50" t="s">
        <v>24</v>
      </c>
      <c r="C50" t="s">
        <v>545</v>
      </c>
      <c r="D50" s="20" t="s">
        <v>546</v>
      </c>
      <c r="E50" t="s">
        <v>547</v>
      </c>
      <c r="F50" t="s">
        <v>548</v>
      </c>
      <c r="G50" t="s">
        <v>229</v>
      </c>
      <c r="H50" t="s">
        <v>549</v>
      </c>
      <c r="I50" t="s">
        <v>550</v>
      </c>
    </row>
    <row r="51" spans="2:9" ht="174" customHeight="1" x14ac:dyDescent="0.35">
      <c r="B51" t="s">
        <v>26</v>
      </c>
      <c r="C51" t="s">
        <v>250</v>
      </c>
      <c r="D51" s="20" t="s">
        <v>551</v>
      </c>
      <c r="E51" t="s">
        <v>552</v>
      </c>
      <c r="F51" s="60" t="s">
        <v>553</v>
      </c>
      <c r="G51" t="s">
        <v>554</v>
      </c>
      <c r="H51" t="s">
        <v>555</v>
      </c>
      <c r="I51" t="s">
        <v>556</v>
      </c>
    </row>
    <row r="52" spans="2:9" ht="174" customHeight="1" x14ac:dyDescent="0.35">
      <c r="B52" t="s">
        <v>26</v>
      </c>
      <c r="C52" t="s">
        <v>557</v>
      </c>
      <c r="D52" s="20" t="s">
        <v>558</v>
      </c>
      <c r="E52" t="s">
        <v>559</v>
      </c>
      <c r="F52" t="s">
        <v>560</v>
      </c>
      <c r="G52" t="s">
        <v>260</v>
      </c>
      <c r="H52" t="s">
        <v>561</v>
      </c>
      <c r="I52" t="s">
        <v>562</v>
      </c>
    </row>
    <row r="53" spans="2:9" ht="115.5" customHeight="1" x14ac:dyDescent="0.35">
      <c r="B53" t="s">
        <v>30</v>
      </c>
      <c r="C53" t="s">
        <v>261</v>
      </c>
      <c r="D53" s="20" t="s">
        <v>563</v>
      </c>
      <c r="E53" t="s">
        <v>564</v>
      </c>
      <c r="F53" t="s">
        <v>565</v>
      </c>
      <c r="G53" t="s">
        <v>566</v>
      </c>
      <c r="H53" t="s">
        <v>567</v>
      </c>
      <c r="I53" t="s">
        <v>568</v>
      </c>
    </row>
    <row r="54" spans="2:9" ht="202.5" customHeight="1" x14ac:dyDescent="0.35">
      <c r="B54" t="s">
        <v>30</v>
      </c>
      <c r="C54" t="s">
        <v>266</v>
      </c>
      <c r="D54" s="20" t="s">
        <v>569</v>
      </c>
      <c r="E54" t="s">
        <v>570</v>
      </c>
      <c r="F54" t="s">
        <v>571</v>
      </c>
      <c r="G54" t="s">
        <v>572</v>
      </c>
      <c r="H54" t="s">
        <v>573</v>
      </c>
      <c r="I54" t="s">
        <v>574</v>
      </c>
    </row>
    <row r="55" spans="2:9" ht="115.5" customHeight="1" x14ac:dyDescent="0.35">
      <c r="B55" t="s">
        <v>32</v>
      </c>
      <c r="C55" t="s">
        <v>575</v>
      </c>
      <c r="D55" s="20" t="s">
        <v>576</v>
      </c>
      <c r="E55" t="s">
        <v>577</v>
      </c>
      <c r="G55" t="s">
        <v>578</v>
      </c>
      <c r="H55" t="s">
        <v>579</v>
      </c>
      <c r="I55" t="s">
        <v>580</v>
      </c>
    </row>
    <row r="56" spans="2:9" ht="144.75" customHeight="1" x14ac:dyDescent="0.35">
      <c r="B56" t="s">
        <v>32</v>
      </c>
      <c r="C56" t="s">
        <v>296</v>
      </c>
      <c r="D56" s="20" t="s">
        <v>581</v>
      </c>
      <c r="E56" t="s">
        <v>582</v>
      </c>
      <c r="G56" t="s">
        <v>300</v>
      </c>
      <c r="H56" t="s">
        <v>583</v>
      </c>
      <c r="I56" t="s">
        <v>584</v>
      </c>
    </row>
    <row r="57" spans="2:9" ht="130.5" customHeight="1" x14ac:dyDescent="0.35">
      <c r="B57" t="s">
        <v>32</v>
      </c>
      <c r="C57" t="s">
        <v>301</v>
      </c>
      <c r="D57" s="20" t="s">
        <v>585</v>
      </c>
      <c r="G57" t="s">
        <v>305</v>
      </c>
      <c r="H57" t="s">
        <v>586</v>
      </c>
      <c r="I57" t="s">
        <v>587</v>
      </c>
    </row>
    <row r="58" spans="2:9" ht="57.75" customHeight="1" x14ac:dyDescent="0.35">
      <c r="B58" t="s">
        <v>32</v>
      </c>
      <c r="C58" t="s">
        <v>588</v>
      </c>
      <c r="D58" s="20" t="s">
        <v>589</v>
      </c>
      <c r="E58" t="s">
        <v>590</v>
      </c>
      <c r="G58" t="s">
        <v>591</v>
      </c>
      <c r="H58" t="s">
        <v>592</v>
      </c>
      <c r="I58" t="s">
        <v>593</v>
      </c>
    </row>
    <row r="59" spans="2:9" ht="14.25" customHeight="1" x14ac:dyDescent="0.35">
      <c r="B59" s="60"/>
    </row>
    <row r="60" spans="2:9" ht="14.25" customHeight="1" x14ac:dyDescent="0.35">
      <c r="B60" s="60" t="s">
        <v>340</v>
      </c>
    </row>
    <row r="61" spans="2:9" ht="14.25" customHeight="1" x14ac:dyDescent="0.35">
      <c r="B61" s="61" t="s">
        <v>341</v>
      </c>
    </row>
    <row r="62" spans="2:9" ht="14.25" customHeight="1" x14ac:dyDescent="0.35">
      <c r="B62" t="s">
        <v>594</v>
      </c>
    </row>
    <row r="63" spans="2:9" ht="14.25" customHeight="1" x14ac:dyDescent="0.35">
      <c r="B63" t="s">
        <v>595</v>
      </c>
    </row>
    <row r="64" spans="2:9" ht="14.25" customHeight="1" x14ac:dyDescent="0.35">
      <c r="B64" t="s">
        <v>596</v>
      </c>
    </row>
    <row r="65" spans="2:2" ht="14.25" customHeight="1" x14ac:dyDescent="0.35">
      <c r="B65" t="s">
        <v>47</v>
      </c>
    </row>
    <row r="70" spans="2:2" ht="14.25" customHeight="1" x14ac:dyDescent="0.35">
      <c r="B70" t="s">
        <v>3</v>
      </c>
    </row>
    <row r="71" spans="2:2" ht="14.25" customHeight="1" x14ac:dyDescent="0.35">
      <c r="B71" t="s">
        <v>50</v>
      </c>
    </row>
    <row r="72" spans="2:2" ht="14.25" customHeight="1" x14ac:dyDescent="0.35">
      <c r="B72" t="s">
        <v>348</v>
      </c>
    </row>
    <row r="73" spans="2:2" ht="14.25" customHeight="1" x14ac:dyDescent="0.35">
      <c r="B73" t="s">
        <v>55</v>
      </c>
    </row>
    <row r="74" spans="2:2" ht="14.25" customHeight="1" x14ac:dyDescent="0.35">
      <c r="B74" t="s">
        <v>597</v>
      </c>
    </row>
    <row r="75" spans="2:2" ht="14.25" customHeight="1" x14ac:dyDescent="0.35">
      <c r="B75" t="s">
        <v>598</v>
      </c>
    </row>
    <row r="78" spans="2:2" ht="14.25" customHeight="1" x14ac:dyDescent="0.35">
      <c r="B78" t="s">
        <v>3</v>
      </c>
    </row>
    <row r="79" spans="2:2" ht="14.25" customHeight="1" x14ac:dyDescent="0.35">
      <c r="B79" t="s">
        <v>56</v>
      </c>
    </row>
    <row r="80" spans="2:2" ht="14.25" customHeight="1" x14ac:dyDescent="0.35">
      <c r="B80" t="s">
        <v>599</v>
      </c>
    </row>
    <row r="81" spans="2:2" ht="14.25" customHeight="1" x14ac:dyDescent="0.35">
      <c r="B81" t="s">
        <v>61</v>
      </c>
    </row>
    <row r="82" spans="2:2" ht="14.25" customHeight="1" x14ac:dyDescent="0.35">
      <c r="B82" t="s">
        <v>600</v>
      </c>
    </row>
    <row r="83" spans="2:2" ht="14.25" customHeight="1" x14ac:dyDescent="0.35">
      <c r="B83" t="s">
        <v>601</v>
      </c>
    </row>
    <row r="86" spans="2:2" ht="14.25" customHeight="1" x14ac:dyDescent="0.35">
      <c r="B86" t="s">
        <v>3</v>
      </c>
    </row>
    <row r="87" spans="2:2" ht="14.25" customHeight="1" x14ac:dyDescent="0.35">
      <c r="B87" t="s">
        <v>62</v>
      </c>
    </row>
    <row r="88" spans="2:2" ht="14.25" customHeight="1" x14ac:dyDescent="0.35">
      <c r="B88" t="s">
        <v>602</v>
      </c>
    </row>
    <row r="89" spans="2:2" ht="14.25" customHeight="1" x14ac:dyDescent="0.35">
      <c r="B89" t="s">
        <v>67</v>
      </c>
    </row>
    <row r="90" spans="2:2" ht="14.25" customHeight="1" x14ac:dyDescent="0.35">
      <c r="B90" t="s">
        <v>603</v>
      </c>
    </row>
    <row r="91" spans="2:2" ht="14.25" customHeight="1" x14ac:dyDescent="0.35">
      <c r="B91" t="s">
        <v>604</v>
      </c>
    </row>
    <row r="94" spans="2:2" ht="14.25" customHeight="1" x14ac:dyDescent="0.35">
      <c r="B94" t="s">
        <v>3</v>
      </c>
    </row>
    <row r="95" spans="2:2" ht="14.25" customHeight="1" x14ac:dyDescent="0.35">
      <c r="B95" t="s">
        <v>68</v>
      </c>
    </row>
    <row r="96" spans="2:2" ht="14.25" customHeight="1" x14ac:dyDescent="0.35">
      <c r="B96" t="s">
        <v>605</v>
      </c>
    </row>
    <row r="97" spans="2:2" ht="14.25" customHeight="1" x14ac:dyDescent="0.35">
      <c r="B97" t="s">
        <v>73</v>
      </c>
    </row>
    <row r="98" spans="2:2" ht="14.25" customHeight="1" x14ac:dyDescent="0.35">
      <c r="B98" t="s">
        <v>606</v>
      </c>
    </row>
    <row r="99" spans="2:2" ht="14.25" customHeight="1" x14ac:dyDescent="0.35">
      <c r="B99" t="s">
        <v>607</v>
      </c>
    </row>
    <row r="102" spans="2:2" ht="14.25" customHeight="1" x14ac:dyDescent="0.35">
      <c r="B102" t="s">
        <v>3</v>
      </c>
    </row>
    <row r="103" spans="2:2" ht="14.25" customHeight="1" x14ac:dyDescent="0.35">
      <c r="B103" t="s">
        <v>74</v>
      </c>
    </row>
    <row r="104" spans="2:2" ht="14.25" customHeight="1" x14ac:dyDescent="0.35">
      <c r="B104" t="s">
        <v>77</v>
      </c>
    </row>
    <row r="105" spans="2:2" ht="14.25" customHeight="1" x14ac:dyDescent="0.35">
      <c r="B105" t="s">
        <v>78</v>
      </c>
    </row>
    <row r="106" spans="2:2" ht="14.25" customHeight="1" x14ac:dyDescent="0.35">
      <c r="B106" t="s">
        <v>608</v>
      </c>
    </row>
    <row r="107" spans="2:2" ht="14.25" customHeight="1" x14ac:dyDescent="0.35">
      <c r="B107" t="s">
        <v>609</v>
      </c>
    </row>
    <row r="110" spans="2:2" ht="14.25" customHeight="1" x14ac:dyDescent="0.35">
      <c r="B110" t="s">
        <v>3</v>
      </c>
    </row>
    <row r="111" spans="2:2" ht="14.25" customHeight="1" x14ac:dyDescent="0.35">
      <c r="B111" t="s">
        <v>80</v>
      </c>
    </row>
    <row r="112" spans="2:2" ht="14.25" customHeight="1" x14ac:dyDescent="0.35">
      <c r="B112" t="s">
        <v>610</v>
      </c>
    </row>
    <row r="113" spans="2:2" ht="14.25" customHeight="1" x14ac:dyDescent="0.35">
      <c r="B113" t="s">
        <v>84</v>
      </c>
    </row>
    <row r="114" spans="2:2" ht="14.25" customHeight="1" x14ac:dyDescent="0.35">
      <c r="B114" t="s">
        <v>611</v>
      </c>
    </row>
    <row r="115" spans="2:2" ht="14.25" customHeight="1" x14ac:dyDescent="0.35">
      <c r="B115" t="s">
        <v>612</v>
      </c>
    </row>
    <row r="118" spans="2:2" ht="14.25" customHeight="1" x14ac:dyDescent="0.35">
      <c r="B118" t="s">
        <v>3</v>
      </c>
    </row>
    <row r="119" spans="2:2" ht="14.25" customHeight="1" x14ac:dyDescent="0.35">
      <c r="B119" t="s">
        <v>86</v>
      </c>
    </row>
    <row r="120" spans="2:2" ht="14.25" customHeight="1" x14ac:dyDescent="0.35">
      <c r="B120" t="s">
        <v>613</v>
      </c>
    </row>
    <row r="121" spans="2:2" ht="14.25" customHeight="1" x14ac:dyDescent="0.35">
      <c r="B121" t="s">
        <v>90</v>
      </c>
    </row>
    <row r="122" spans="2:2" ht="14.25" customHeight="1" x14ac:dyDescent="0.35">
      <c r="B122" t="s">
        <v>614</v>
      </c>
    </row>
    <row r="123" spans="2:2" ht="14.25" customHeight="1" x14ac:dyDescent="0.35">
      <c r="B123" t="s">
        <v>615</v>
      </c>
    </row>
    <row r="126" spans="2:2" ht="14.25" customHeight="1" x14ac:dyDescent="0.35">
      <c r="B126" t="s">
        <v>3</v>
      </c>
    </row>
    <row r="127" spans="2:2" ht="14.25" customHeight="1" x14ac:dyDescent="0.35">
      <c r="B127" t="s">
        <v>386</v>
      </c>
    </row>
    <row r="128" spans="2:2" ht="14.25" customHeight="1" x14ac:dyDescent="0.35">
      <c r="B128" t="s">
        <v>616</v>
      </c>
    </row>
    <row r="129" spans="2:2" ht="14.25" customHeight="1" x14ac:dyDescent="0.35">
      <c r="B129" t="s">
        <v>617</v>
      </c>
    </row>
    <row r="130" spans="2:2" ht="14.25" customHeight="1" x14ac:dyDescent="0.35">
      <c r="B130" t="s">
        <v>618</v>
      </c>
    </row>
    <row r="131" spans="2:2" ht="14.25" customHeight="1" x14ac:dyDescent="0.35">
      <c r="B131" t="s">
        <v>619</v>
      </c>
    </row>
    <row r="134" spans="2:2" ht="14.25" customHeight="1" x14ac:dyDescent="0.35">
      <c r="B134" t="s">
        <v>3</v>
      </c>
    </row>
    <row r="135" spans="2:2" ht="14.25" customHeight="1" x14ac:dyDescent="0.35">
      <c r="B135" t="s">
        <v>397</v>
      </c>
    </row>
    <row r="136" spans="2:2" ht="14.25" customHeight="1" x14ac:dyDescent="0.35">
      <c r="B136" t="s">
        <v>620</v>
      </c>
    </row>
    <row r="137" spans="2:2" ht="14.25" customHeight="1" x14ac:dyDescent="0.35">
      <c r="B137" t="s">
        <v>621</v>
      </c>
    </row>
    <row r="138" spans="2:2" ht="14.25" customHeight="1" x14ac:dyDescent="0.35">
      <c r="B138" t="s">
        <v>622</v>
      </c>
    </row>
    <row r="139" spans="2:2" ht="14.25" customHeight="1" x14ac:dyDescent="0.35">
      <c r="B139" t="s">
        <v>623</v>
      </c>
    </row>
    <row r="142" spans="2:2" ht="14.25" customHeight="1" x14ac:dyDescent="0.35">
      <c r="B142" t="s">
        <v>3</v>
      </c>
    </row>
    <row r="143" spans="2:2" ht="14.25" customHeight="1" x14ac:dyDescent="0.35">
      <c r="B143" t="s">
        <v>92</v>
      </c>
    </row>
    <row r="144" spans="2:2" ht="14.25" customHeight="1" x14ac:dyDescent="0.35">
      <c r="B144" t="s">
        <v>624</v>
      </c>
    </row>
    <row r="145" spans="2:2" ht="14.25" customHeight="1" x14ac:dyDescent="0.35">
      <c r="B145" t="s">
        <v>96</v>
      </c>
    </row>
    <row r="146" spans="2:2" ht="14.25" customHeight="1" x14ac:dyDescent="0.35">
      <c r="B146" t="s">
        <v>625</v>
      </c>
    </row>
    <row r="147" spans="2:2" ht="14.25" customHeight="1" x14ac:dyDescent="0.35">
      <c r="B147" t="s">
        <v>626</v>
      </c>
    </row>
    <row r="150" spans="2:2" ht="14.25" customHeight="1" x14ac:dyDescent="0.35">
      <c r="B150" t="s">
        <v>3</v>
      </c>
    </row>
    <row r="151" spans="2:2" ht="14.25" customHeight="1" x14ac:dyDescent="0.35">
      <c r="B151" t="s">
        <v>408</v>
      </c>
    </row>
    <row r="152" spans="2:2" ht="14.25" customHeight="1" x14ac:dyDescent="0.35">
      <c r="B152" t="s">
        <v>627</v>
      </c>
    </row>
    <row r="153" spans="2:2" ht="14.25" customHeight="1" x14ac:dyDescent="0.35">
      <c r="B153" t="s">
        <v>102</v>
      </c>
    </row>
    <row r="154" spans="2:2" ht="14.25" customHeight="1" x14ac:dyDescent="0.35">
      <c r="B154" t="s">
        <v>628</v>
      </c>
    </row>
    <row r="155" spans="2:2" ht="14.25" customHeight="1" x14ac:dyDescent="0.35">
      <c r="B155" t="s">
        <v>629</v>
      </c>
    </row>
    <row r="158" spans="2:2" ht="14.25" customHeight="1" x14ac:dyDescent="0.35">
      <c r="B158" t="s">
        <v>3</v>
      </c>
    </row>
    <row r="159" spans="2:2" ht="14.25" customHeight="1" x14ac:dyDescent="0.35">
      <c r="B159" t="s">
        <v>414</v>
      </c>
    </row>
    <row r="160" spans="2:2" ht="14.25" customHeight="1" x14ac:dyDescent="0.35">
      <c r="B160" t="s">
        <v>630</v>
      </c>
    </row>
    <row r="161" spans="2:2" ht="14.25" customHeight="1" x14ac:dyDescent="0.35">
      <c r="B161" t="s">
        <v>631</v>
      </c>
    </row>
    <row r="162" spans="2:2" ht="14.25" customHeight="1" x14ac:dyDescent="0.35">
      <c r="B162" t="s">
        <v>632</v>
      </c>
    </row>
    <row r="163" spans="2:2" ht="14.25" customHeight="1" x14ac:dyDescent="0.35">
      <c r="B163" t="s">
        <v>633</v>
      </c>
    </row>
    <row r="166" spans="2:2" ht="14.25" customHeight="1" x14ac:dyDescent="0.35">
      <c r="B166" t="s">
        <v>7</v>
      </c>
    </row>
    <row r="167" spans="2:2" ht="14.25" customHeight="1" x14ac:dyDescent="0.35">
      <c r="B167" t="s">
        <v>634</v>
      </c>
    </row>
    <row r="168" spans="2:2" ht="14.25" customHeight="1" x14ac:dyDescent="0.35">
      <c r="B168" t="s">
        <v>121</v>
      </c>
    </row>
    <row r="169" spans="2:2" ht="14.25" customHeight="1" x14ac:dyDescent="0.35">
      <c r="B169" t="s">
        <v>122</v>
      </c>
    </row>
    <row r="170" spans="2:2" ht="14.25" customHeight="1" x14ac:dyDescent="0.35">
      <c r="B170" t="s">
        <v>635</v>
      </c>
    </row>
    <row r="171" spans="2:2" ht="14.25" customHeight="1" x14ac:dyDescent="0.35">
      <c r="B171" t="s">
        <v>636</v>
      </c>
    </row>
    <row r="174" spans="2:2" ht="14.25" customHeight="1" x14ac:dyDescent="0.35">
      <c r="B174" t="s">
        <v>7</v>
      </c>
    </row>
    <row r="175" spans="2:2" ht="14.25" customHeight="1" x14ac:dyDescent="0.35">
      <c r="B175" t="s">
        <v>637</v>
      </c>
    </row>
    <row r="176" spans="2:2" ht="14.25" customHeight="1" x14ac:dyDescent="0.35">
      <c r="B176" t="s">
        <v>126</v>
      </c>
    </row>
    <row r="177" spans="2:2" ht="14.25" customHeight="1" x14ac:dyDescent="0.35">
      <c r="B177" t="s">
        <v>127</v>
      </c>
    </row>
    <row r="178" spans="2:2" ht="14.25" customHeight="1" x14ac:dyDescent="0.35">
      <c r="B178" t="s">
        <v>638</v>
      </c>
    </row>
    <row r="179" spans="2:2" ht="14.25" customHeight="1" x14ac:dyDescent="0.35">
      <c r="B179" t="s">
        <v>639</v>
      </c>
    </row>
    <row r="182" spans="2:2" ht="14.25" customHeight="1" x14ac:dyDescent="0.35">
      <c r="B182" t="s">
        <v>7</v>
      </c>
    </row>
    <row r="183" spans="2:2" ht="14.25" customHeight="1" x14ac:dyDescent="0.35">
      <c r="B183" t="s">
        <v>640</v>
      </c>
    </row>
    <row r="184" spans="2:2" ht="14.25" customHeight="1" x14ac:dyDescent="0.35">
      <c r="B184" t="s">
        <v>131</v>
      </c>
    </row>
    <row r="185" spans="2:2" ht="14.25" customHeight="1" x14ac:dyDescent="0.35">
      <c r="B185" t="s">
        <v>132</v>
      </c>
    </row>
    <row r="186" spans="2:2" ht="14.25" customHeight="1" x14ac:dyDescent="0.35">
      <c r="B186" t="s">
        <v>641</v>
      </c>
    </row>
    <row r="187" spans="2:2" ht="14.25" customHeight="1" x14ac:dyDescent="0.35">
      <c r="B187" t="s">
        <v>642</v>
      </c>
    </row>
    <row r="190" spans="2:2" ht="14.25" customHeight="1" x14ac:dyDescent="0.35">
      <c r="B190" t="s">
        <v>7</v>
      </c>
    </row>
    <row r="191" spans="2:2" ht="14.25" customHeight="1" x14ac:dyDescent="0.35">
      <c r="B191" t="s">
        <v>137</v>
      </c>
    </row>
    <row r="192" spans="2:2" ht="14.25" customHeight="1" x14ac:dyDescent="0.35">
      <c r="B192" t="s">
        <v>643</v>
      </c>
    </row>
    <row r="193" spans="2:2" ht="14.25" customHeight="1" x14ac:dyDescent="0.35">
      <c r="B193" t="s">
        <v>141</v>
      </c>
    </row>
    <row r="194" spans="2:2" ht="14.25" customHeight="1" x14ac:dyDescent="0.35">
      <c r="B194" t="s">
        <v>644</v>
      </c>
    </row>
    <row r="195" spans="2:2" ht="14.25" customHeight="1" x14ac:dyDescent="0.35">
      <c r="B195" t="s">
        <v>645</v>
      </c>
    </row>
    <row r="198" spans="2:2" ht="14.25" customHeight="1" x14ac:dyDescent="0.35">
      <c r="B198" t="s">
        <v>7</v>
      </c>
    </row>
    <row r="199" spans="2:2" ht="14.25" customHeight="1" x14ac:dyDescent="0.35">
      <c r="B199" t="s">
        <v>143</v>
      </c>
    </row>
    <row r="200" spans="2:2" ht="14.25" customHeight="1" x14ac:dyDescent="0.35">
      <c r="B200" t="s">
        <v>146</v>
      </c>
    </row>
    <row r="201" spans="2:2" ht="14.25" customHeight="1" x14ac:dyDescent="0.35">
      <c r="B201" t="s">
        <v>147</v>
      </c>
    </row>
    <row r="202" spans="2:2" ht="14.25" customHeight="1" x14ac:dyDescent="0.35">
      <c r="B202" t="s">
        <v>646</v>
      </c>
    </row>
    <row r="203" spans="2:2" ht="14.25" customHeight="1" x14ac:dyDescent="0.35">
      <c r="B203" t="s">
        <v>647</v>
      </c>
    </row>
    <row r="206" spans="2:2" ht="14.25" customHeight="1" x14ac:dyDescent="0.35">
      <c r="B206" t="s">
        <v>11</v>
      </c>
    </row>
    <row r="207" spans="2:2" ht="14.25" customHeight="1" x14ac:dyDescent="0.35">
      <c r="B207" t="s">
        <v>466</v>
      </c>
    </row>
    <row r="208" spans="2:2" ht="14.25" customHeight="1" x14ac:dyDescent="0.35">
      <c r="B208" t="s">
        <v>648</v>
      </c>
    </row>
    <row r="209" spans="2:2" ht="14.25" customHeight="1" x14ac:dyDescent="0.35">
      <c r="B209" t="s">
        <v>649</v>
      </c>
    </row>
    <row r="210" spans="2:2" ht="14.25" customHeight="1" x14ac:dyDescent="0.35">
      <c r="B210" t="s">
        <v>650</v>
      </c>
    </row>
    <row r="211" spans="2:2" ht="14.25" customHeight="1" x14ac:dyDescent="0.35">
      <c r="B211" t="s">
        <v>651</v>
      </c>
    </row>
    <row r="214" spans="2:2" ht="14.25" customHeight="1" x14ac:dyDescent="0.35">
      <c r="B214" t="s">
        <v>11</v>
      </c>
    </row>
    <row r="215" spans="2:2" ht="14.25" customHeight="1" x14ac:dyDescent="0.35">
      <c r="B215" t="s">
        <v>652</v>
      </c>
    </row>
    <row r="216" spans="2:2" ht="14.25" customHeight="1" x14ac:dyDescent="0.35">
      <c r="B216" t="s">
        <v>653</v>
      </c>
    </row>
    <row r="217" spans="2:2" ht="14.25" customHeight="1" x14ac:dyDescent="0.35">
      <c r="B217" t="s">
        <v>654</v>
      </c>
    </row>
    <row r="218" spans="2:2" ht="14.25" customHeight="1" x14ac:dyDescent="0.35">
      <c r="B218" t="s">
        <v>655</v>
      </c>
    </row>
    <row r="219" spans="2:2" ht="14.25" customHeight="1" x14ac:dyDescent="0.35">
      <c r="B219" t="s">
        <v>656</v>
      </c>
    </row>
    <row r="222" spans="2:2" ht="14.25" customHeight="1" x14ac:dyDescent="0.35">
      <c r="B222" t="s">
        <v>11</v>
      </c>
    </row>
    <row r="223" spans="2:2" ht="14.25" customHeight="1" x14ac:dyDescent="0.35">
      <c r="B223" t="s">
        <v>478</v>
      </c>
    </row>
    <row r="224" spans="2:2" ht="14.25" customHeight="1" x14ac:dyDescent="0.35">
      <c r="B224" t="s">
        <v>657</v>
      </c>
    </row>
    <row r="225" spans="2:2" ht="14.25" customHeight="1" x14ac:dyDescent="0.35">
      <c r="B225" t="s">
        <v>658</v>
      </c>
    </row>
    <row r="226" spans="2:2" ht="14.25" customHeight="1" x14ac:dyDescent="0.35">
      <c r="B226" t="s">
        <v>659</v>
      </c>
    </row>
    <row r="227" spans="2:2" ht="14.25" customHeight="1" x14ac:dyDescent="0.35">
      <c r="B227" t="s">
        <v>660</v>
      </c>
    </row>
    <row r="230" spans="2:2" ht="14.25" customHeight="1" x14ac:dyDescent="0.35">
      <c r="B230" t="s">
        <v>490</v>
      </c>
    </row>
    <row r="231" spans="2:2" ht="14.25" customHeight="1" x14ac:dyDescent="0.35">
      <c r="B231" t="s">
        <v>495</v>
      </c>
    </row>
    <row r="232" spans="2:2" ht="14.25" customHeight="1" x14ac:dyDescent="0.35">
      <c r="B232" t="s">
        <v>661</v>
      </c>
    </row>
    <row r="233" spans="2:2" ht="14.25" customHeight="1" x14ac:dyDescent="0.35">
      <c r="B233" t="s">
        <v>662</v>
      </c>
    </row>
    <row r="234" spans="2:2" ht="14.25" customHeight="1" x14ac:dyDescent="0.35">
      <c r="B234" t="s">
        <v>663</v>
      </c>
    </row>
    <row r="235" spans="2:2" ht="14.25" customHeight="1" x14ac:dyDescent="0.35">
      <c r="B235" t="s">
        <v>664</v>
      </c>
    </row>
    <row r="238" spans="2:2" ht="14.25" customHeight="1" x14ac:dyDescent="0.35">
      <c r="B238" t="s">
        <v>18</v>
      </c>
    </row>
    <row r="239" spans="2:2" ht="14.25" customHeight="1" x14ac:dyDescent="0.35">
      <c r="B239" t="s">
        <v>511</v>
      </c>
    </row>
    <row r="240" spans="2:2" ht="14.25" customHeight="1" x14ac:dyDescent="0.35">
      <c r="B240" t="s">
        <v>665</v>
      </c>
    </row>
    <row r="241" spans="2:2" ht="14.25" customHeight="1" x14ac:dyDescent="0.35">
      <c r="B241" t="s">
        <v>666</v>
      </c>
    </row>
    <row r="242" spans="2:2" ht="14.25" customHeight="1" x14ac:dyDescent="0.35">
      <c r="B242" t="s">
        <v>667</v>
      </c>
    </row>
    <row r="243" spans="2:2" ht="14.25" customHeight="1" x14ac:dyDescent="0.35">
      <c r="B243" t="s">
        <v>668</v>
      </c>
    </row>
    <row r="246" spans="2:2" ht="14.25" customHeight="1" x14ac:dyDescent="0.35">
      <c r="B246" t="s">
        <v>18</v>
      </c>
    </row>
    <row r="247" spans="2:2" ht="14.25" customHeight="1" x14ac:dyDescent="0.35">
      <c r="B247" t="s">
        <v>517</v>
      </c>
    </row>
    <row r="248" spans="2:2" ht="14.25" customHeight="1" x14ac:dyDescent="0.35">
      <c r="B248" t="s">
        <v>669</v>
      </c>
    </row>
    <row r="249" spans="2:2" ht="14.25" customHeight="1" x14ac:dyDescent="0.35">
      <c r="B249" t="s">
        <v>670</v>
      </c>
    </row>
    <row r="250" spans="2:2" ht="14.25" customHeight="1" x14ac:dyDescent="0.35">
      <c r="B250" t="s">
        <v>671</v>
      </c>
    </row>
    <row r="251" spans="2:2" ht="14.25" customHeight="1" x14ac:dyDescent="0.35">
      <c r="B251" t="s">
        <v>672</v>
      </c>
    </row>
    <row r="254" spans="2:2" ht="14.25" customHeight="1" x14ac:dyDescent="0.35">
      <c r="B254" t="s">
        <v>18</v>
      </c>
    </row>
    <row r="255" spans="2:2" ht="14.25" customHeight="1" x14ac:dyDescent="0.35">
      <c r="B255" t="s">
        <v>523</v>
      </c>
    </row>
    <row r="256" spans="2:2" ht="14.25" customHeight="1" x14ac:dyDescent="0.35">
      <c r="B256" t="s">
        <v>673</v>
      </c>
    </row>
    <row r="257" spans="2:2" ht="14.25" customHeight="1" x14ac:dyDescent="0.35">
      <c r="B257" t="s">
        <v>674</v>
      </c>
    </row>
    <row r="258" spans="2:2" ht="14.25" customHeight="1" x14ac:dyDescent="0.35">
      <c r="B258" t="s">
        <v>675</v>
      </c>
    </row>
    <row r="259" spans="2:2" ht="14.25" customHeight="1" x14ac:dyDescent="0.35">
      <c r="B259" t="s">
        <v>676</v>
      </c>
    </row>
    <row r="262" spans="2:2" ht="14.25" customHeight="1" x14ac:dyDescent="0.35">
      <c r="B262" t="s">
        <v>18</v>
      </c>
    </row>
    <row r="263" spans="2:2" ht="14.25" customHeight="1" x14ac:dyDescent="0.35">
      <c r="B263" t="s">
        <v>190</v>
      </c>
    </row>
    <row r="264" spans="2:2" ht="14.25" customHeight="1" x14ac:dyDescent="0.35">
      <c r="B264" t="s">
        <v>677</v>
      </c>
    </row>
    <row r="265" spans="2:2" ht="14.25" customHeight="1" x14ac:dyDescent="0.35">
      <c r="B265" t="s">
        <v>678</v>
      </c>
    </row>
    <row r="266" spans="2:2" ht="14.25" customHeight="1" x14ac:dyDescent="0.35">
      <c r="B266" t="s">
        <v>679</v>
      </c>
    </row>
    <row r="267" spans="2:2" ht="14.25" customHeight="1" x14ac:dyDescent="0.35">
      <c r="B267" t="s">
        <v>680</v>
      </c>
    </row>
    <row r="270" spans="2:2" ht="14.25" customHeight="1" x14ac:dyDescent="0.35">
      <c r="B270" t="s">
        <v>21</v>
      </c>
    </row>
    <row r="271" spans="2:2" ht="14.25" customHeight="1" x14ac:dyDescent="0.35">
      <c r="B271" t="s">
        <v>528</v>
      </c>
    </row>
    <row r="272" spans="2:2" ht="14.25" customHeight="1" x14ac:dyDescent="0.35">
      <c r="B272" t="s">
        <v>681</v>
      </c>
    </row>
    <row r="273" spans="2:2" ht="14.25" customHeight="1" x14ac:dyDescent="0.35">
      <c r="B273" t="s">
        <v>682</v>
      </c>
    </row>
    <row r="274" spans="2:2" ht="14.25" customHeight="1" x14ac:dyDescent="0.35">
      <c r="B274" t="s">
        <v>683</v>
      </c>
    </row>
    <row r="275" spans="2:2" ht="14.25" customHeight="1" x14ac:dyDescent="0.35">
      <c r="B275" t="s">
        <v>684</v>
      </c>
    </row>
    <row r="278" spans="2:2" ht="14.25" customHeight="1" x14ac:dyDescent="0.35">
      <c r="B278" t="s">
        <v>21</v>
      </c>
    </row>
    <row r="279" spans="2:2" ht="14.25" customHeight="1" x14ac:dyDescent="0.35">
      <c r="B279" t="s">
        <v>535</v>
      </c>
    </row>
    <row r="280" spans="2:2" ht="14.25" customHeight="1" x14ac:dyDescent="0.35">
      <c r="B280" t="s">
        <v>685</v>
      </c>
    </row>
    <row r="281" spans="2:2" ht="14.25" customHeight="1" x14ac:dyDescent="0.35">
      <c r="B281" t="s">
        <v>686</v>
      </c>
    </row>
    <row r="282" spans="2:2" ht="14.25" customHeight="1" x14ac:dyDescent="0.35">
      <c r="B282" t="s">
        <v>687</v>
      </c>
    </row>
    <row r="283" spans="2:2" ht="14.25" customHeight="1" x14ac:dyDescent="0.35">
      <c r="B283" t="s">
        <v>688</v>
      </c>
    </row>
    <row r="286" spans="2:2" ht="14.25" customHeight="1" x14ac:dyDescent="0.35">
      <c r="B286" t="s">
        <v>21</v>
      </c>
    </row>
    <row r="287" spans="2:2" ht="14.25" customHeight="1" x14ac:dyDescent="0.35">
      <c r="B287" t="s">
        <v>540</v>
      </c>
    </row>
    <row r="288" spans="2:2" ht="14.25" customHeight="1" x14ac:dyDescent="0.35">
      <c r="B288" t="s">
        <v>689</v>
      </c>
    </row>
    <row r="289" spans="2:2" ht="14.25" customHeight="1" x14ac:dyDescent="0.35">
      <c r="B289" t="s">
        <v>690</v>
      </c>
    </row>
    <row r="290" spans="2:2" ht="14.25" customHeight="1" x14ac:dyDescent="0.35">
      <c r="B290" t="s">
        <v>691</v>
      </c>
    </row>
    <row r="291" spans="2:2" ht="14.25" customHeight="1" x14ac:dyDescent="0.35">
      <c r="B291" t="s">
        <v>692</v>
      </c>
    </row>
    <row r="294" spans="2:2" ht="14.25" customHeight="1" x14ac:dyDescent="0.35">
      <c r="B294" t="s">
        <v>21</v>
      </c>
    </row>
    <row r="295" spans="2:2" ht="14.25" customHeight="1" x14ac:dyDescent="0.35">
      <c r="B295" t="s">
        <v>212</v>
      </c>
    </row>
    <row r="296" spans="2:2" ht="14.25" customHeight="1" x14ac:dyDescent="0.35">
      <c r="B296" t="s">
        <v>693</v>
      </c>
    </row>
    <row r="297" spans="2:2" ht="14.25" customHeight="1" x14ac:dyDescent="0.35">
      <c r="B297" t="s">
        <v>694</v>
      </c>
    </row>
    <row r="298" spans="2:2" ht="14.25" customHeight="1" x14ac:dyDescent="0.35">
      <c r="B298" t="s">
        <v>695</v>
      </c>
    </row>
    <row r="299" spans="2:2" ht="14.25" customHeight="1" x14ac:dyDescent="0.35">
      <c r="B299" t="s">
        <v>696</v>
      </c>
    </row>
    <row r="302" spans="2:2" ht="14.25" customHeight="1" x14ac:dyDescent="0.35">
      <c r="B302" t="s">
        <v>21</v>
      </c>
    </row>
    <row r="303" spans="2:2" ht="14.25" customHeight="1" x14ac:dyDescent="0.35">
      <c r="B303" t="s">
        <v>215</v>
      </c>
    </row>
    <row r="304" spans="2:2" ht="14.25" customHeight="1" x14ac:dyDescent="0.35">
      <c r="B304" t="s">
        <v>697</v>
      </c>
    </row>
    <row r="305" spans="2:2" ht="14.25" customHeight="1" x14ac:dyDescent="0.35">
      <c r="B305" t="s">
        <v>698</v>
      </c>
    </row>
    <row r="306" spans="2:2" ht="14.25" customHeight="1" x14ac:dyDescent="0.35">
      <c r="B306" t="s">
        <v>699</v>
      </c>
    </row>
    <row r="307" spans="2:2" ht="14.25" customHeight="1" x14ac:dyDescent="0.35">
      <c r="B307" t="s">
        <v>700</v>
      </c>
    </row>
    <row r="310" spans="2:2" ht="14.25" customHeight="1" x14ac:dyDescent="0.35">
      <c r="B310" t="s">
        <v>21</v>
      </c>
    </row>
    <row r="311" spans="2:2" ht="14.25" customHeight="1" x14ac:dyDescent="0.35">
      <c r="B311" t="s">
        <v>701</v>
      </c>
    </row>
    <row r="312" spans="2:2" ht="14.25" customHeight="1" x14ac:dyDescent="0.35">
      <c r="B312" t="s">
        <v>702</v>
      </c>
    </row>
    <row r="313" spans="2:2" ht="14.25" customHeight="1" x14ac:dyDescent="0.35">
      <c r="B313" t="s">
        <v>703</v>
      </c>
    </row>
    <row r="314" spans="2:2" ht="14.25" customHeight="1" x14ac:dyDescent="0.35">
      <c r="B314" t="s">
        <v>704</v>
      </c>
    </row>
    <row r="315" spans="2:2" ht="14.25" customHeight="1" x14ac:dyDescent="0.35">
      <c r="B315" t="s">
        <v>705</v>
      </c>
    </row>
    <row r="318" spans="2:2" ht="14.25" customHeight="1" x14ac:dyDescent="0.35">
      <c r="B318" t="s">
        <v>21</v>
      </c>
    </row>
    <row r="319" spans="2:2" ht="14.25" customHeight="1" x14ac:dyDescent="0.35">
      <c r="B319" t="s">
        <v>221</v>
      </c>
    </row>
    <row r="320" spans="2:2" ht="14.25" customHeight="1" x14ac:dyDescent="0.35">
      <c r="B320" t="s">
        <v>706</v>
      </c>
    </row>
    <row r="321" spans="2:2" ht="14.25" customHeight="1" x14ac:dyDescent="0.35">
      <c r="B321" t="s">
        <v>707</v>
      </c>
    </row>
    <row r="322" spans="2:2" ht="14.25" customHeight="1" x14ac:dyDescent="0.35">
      <c r="B322" t="s">
        <v>708</v>
      </c>
    </row>
    <row r="323" spans="2:2" ht="14.25" customHeight="1" x14ac:dyDescent="0.35">
      <c r="B323" t="s">
        <v>709</v>
      </c>
    </row>
    <row r="326" spans="2:2" ht="14.25" customHeight="1" x14ac:dyDescent="0.35">
      <c r="B326" t="s">
        <v>24</v>
      </c>
    </row>
    <row r="327" spans="2:2" ht="14.25" customHeight="1" x14ac:dyDescent="0.35">
      <c r="B327" t="s">
        <v>545</v>
      </c>
    </row>
    <row r="328" spans="2:2" ht="14.25" customHeight="1" x14ac:dyDescent="0.35">
      <c r="B328" t="s">
        <v>710</v>
      </c>
    </row>
    <row r="329" spans="2:2" ht="14.25" customHeight="1" x14ac:dyDescent="0.35">
      <c r="B329" t="s">
        <v>711</v>
      </c>
    </row>
    <row r="330" spans="2:2" ht="14.25" customHeight="1" x14ac:dyDescent="0.35">
      <c r="B330" t="s">
        <v>712</v>
      </c>
    </row>
    <row r="331" spans="2:2" ht="14.25" customHeight="1" x14ac:dyDescent="0.35">
      <c r="B331" t="s">
        <v>713</v>
      </c>
    </row>
    <row r="334" spans="2:2" ht="14.25" customHeight="1" x14ac:dyDescent="0.35">
      <c r="B334" t="s">
        <v>24</v>
      </c>
    </row>
    <row r="335" spans="2:2" ht="14.25" customHeight="1" x14ac:dyDescent="0.35">
      <c r="B335" t="s">
        <v>241</v>
      </c>
    </row>
    <row r="336" spans="2:2" ht="14.25" customHeight="1" x14ac:dyDescent="0.35">
      <c r="B336" t="s">
        <v>714</v>
      </c>
    </row>
    <row r="337" spans="2:2" ht="14.25" customHeight="1" x14ac:dyDescent="0.35">
      <c r="B337" t="s">
        <v>715</v>
      </c>
    </row>
    <row r="338" spans="2:2" ht="14.25" customHeight="1" x14ac:dyDescent="0.35">
      <c r="B338" t="s">
        <v>716</v>
      </c>
    </row>
    <row r="339" spans="2:2" ht="14.25" customHeight="1" x14ac:dyDescent="0.35">
      <c r="B339" t="s">
        <v>717</v>
      </c>
    </row>
    <row r="342" spans="2:2" ht="14.25" customHeight="1" x14ac:dyDescent="0.35">
      <c r="B342" t="s">
        <v>26</v>
      </c>
    </row>
    <row r="343" spans="2:2" ht="14.25" customHeight="1" x14ac:dyDescent="0.35">
      <c r="B343" t="s">
        <v>250</v>
      </c>
    </row>
    <row r="344" spans="2:2" ht="14.25" customHeight="1" x14ac:dyDescent="0.35">
      <c r="B344" t="s">
        <v>718</v>
      </c>
    </row>
    <row r="345" spans="2:2" ht="14.25" customHeight="1" x14ac:dyDescent="0.35">
      <c r="B345" t="s">
        <v>719</v>
      </c>
    </row>
    <row r="346" spans="2:2" ht="14.25" customHeight="1" x14ac:dyDescent="0.35">
      <c r="B346" t="s">
        <v>720</v>
      </c>
    </row>
    <row r="347" spans="2:2" ht="14.25" customHeight="1" x14ac:dyDescent="0.35">
      <c r="B347" t="s">
        <v>721</v>
      </c>
    </row>
    <row r="350" spans="2:2" ht="14.25" customHeight="1" x14ac:dyDescent="0.35">
      <c r="B350" t="s">
        <v>26</v>
      </c>
    </row>
    <row r="351" spans="2:2" ht="14.25" customHeight="1" x14ac:dyDescent="0.35">
      <c r="B351" t="s">
        <v>722</v>
      </c>
    </row>
    <row r="352" spans="2:2" ht="14.25" customHeight="1" x14ac:dyDescent="0.35">
      <c r="B352" t="s">
        <v>723</v>
      </c>
    </row>
    <row r="353" spans="2:2" ht="14.25" customHeight="1" x14ac:dyDescent="0.35">
      <c r="B353" t="s">
        <v>724</v>
      </c>
    </row>
    <row r="354" spans="2:2" ht="14.25" customHeight="1" x14ac:dyDescent="0.35">
      <c r="B354" t="s">
        <v>725</v>
      </c>
    </row>
    <row r="355" spans="2:2" ht="14.25" customHeight="1" x14ac:dyDescent="0.35">
      <c r="B355" t="s">
        <v>726</v>
      </c>
    </row>
    <row r="358" spans="2:2" ht="14.25" customHeight="1" x14ac:dyDescent="0.35">
      <c r="B358" t="s">
        <v>30</v>
      </c>
    </row>
    <row r="359" spans="2:2" ht="14.25" customHeight="1" x14ac:dyDescent="0.35">
      <c r="B359" t="s">
        <v>261</v>
      </c>
    </row>
    <row r="360" spans="2:2" ht="14.25" customHeight="1" x14ac:dyDescent="0.35">
      <c r="B360" t="s">
        <v>727</v>
      </c>
    </row>
    <row r="361" spans="2:2" ht="14.25" customHeight="1" x14ac:dyDescent="0.35">
      <c r="B361" t="s">
        <v>728</v>
      </c>
    </row>
    <row r="362" spans="2:2" ht="14.25" customHeight="1" x14ac:dyDescent="0.35">
      <c r="B362" t="s">
        <v>729</v>
      </c>
    </row>
    <row r="363" spans="2:2" ht="14.25" customHeight="1" x14ac:dyDescent="0.35">
      <c r="B363" t="s">
        <v>730</v>
      </c>
    </row>
    <row r="366" spans="2:2" ht="14.25" customHeight="1" x14ac:dyDescent="0.35">
      <c r="B366" t="s">
        <v>30</v>
      </c>
    </row>
    <row r="367" spans="2:2" ht="14.25" customHeight="1" x14ac:dyDescent="0.35">
      <c r="B367" t="s">
        <v>266</v>
      </c>
    </row>
    <row r="368" spans="2:2" ht="14.25" customHeight="1" x14ac:dyDescent="0.35">
      <c r="B368" t="s">
        <v>731</v>
      </c>
    </row>
    <row r="369" spans="2:2" ht="14.25" customHeight="1" x14ac:dyDescent="0.35">
      <c r="B369" t="s">
        <v>732</v>
      </c>
    </row>
    <row r="370" spans="2:2" ht="14.25" customHeight="1" x14ac:dyDescent="0.35">
      <c r="B370" t="s">
        <v>733</v>
      </c>
    </row>
    <row r="371" spans="2:2" ht="14.25" customHeight="1" x14ac:dyDescent="0.35">
      <c r="B371" t="s">
        <v>734</v>
      </c>
    </row>
    <row r="374" spans="2:2" ht="14.25" customHeight="1" x14ac:dyDescent="0.35">
      <c r="B374" t="s">
        <v>32</v>
      </c>
    </row>
    <row r="375" spans="2:2" ht="14.25" customHeight="1" x14ac:dyDescent="0.35">
      <c r="B375" t="s">
        <v>575</v>
      </c>
    </row>
    <row r="376" spans="2:2" ht="14.25" customHeight="1" x14ac:dyDescent="0.35">
      <c r="B376" t="s">
        <v>735</v>
      </c>
    </row>
    <row r="377" spans="2:2" ht="14.25" customHeight="1" x14ac:dyDescent="0.35">
      <c r="B377" t="s">
        <v>736</v>
      </c>
    </row>
    <row r="378" spans="2:2" ht="14.25" customHeight="1" x14ac:dyDescent="0.35">
      <c r="B378" t="s">
        <v>737</v>
      </c>
    </row>
    <row r="379" spans="2:2" ht="14.25" customHeight="1" x14ac:dyDescent="0.35">
      <c r="B379" t="s">
        <v>738</v>
      </c>
    </row>
    <row r="382" spans="2:2" ht="14.25" customHeight="1" x14ac:dyDescent="0.35">
      <c r="B382" t="s">
        <v>32</v>
      </c>
    </row>
    <row r="383" spans="2:2" ht="14.25" customHeight="1" x14ac:dyDescent="0.35">
      <c r="B383" t="s">
        <v>296</v>
      </c>
    </row>
    <row r="384" spans="2:2" ht="14.25" customHeight="1" x14ac:dyDescent="0.35">
      <c r="B384" t="s">
        <v>739</v>
      </c>
    </row>
    <row r="385" spans="2:2" ht="14.25" customHeight="1" x14ac:dyDescent="0.35">
      <c r="B385" t="s">
        <v>740</v>
      </c>
    </row>
    <row r="386" spans="2:2" ht="14.25" customHeight="1" x14ac:dyDescent="0.35">
      <c r="B386" t="s">
        <v>741</v>
      </c>
    </row>
    <row r="387" spans="2:2" ht="14.25" customHeight="1" x14ac:dyDescent="0.35">
      <c r="B387" t="s">
        <v>742</v>
      </c>
    </row>
    <row r="390" spans="2:2" ht="14.25" customHeight="1" x14ac:dyDescent="0.35">
      <c r="B390" t="s">
        <v>32</v>
      </c>
    </row>
    <row r="391" spans="2:2" ht="14.25" customHeight="1" x14ac:dyDescent="0.35">
      <c r="B391" t="s">
        <v>301</v>
      </c>
    </row>
    <row r="392" spans="2:2" ht="14.25" customHeight="1" x14ac:dyDescent="0.35">
      <c r="B392" t="s">
        <v>743</v>
      </c>
    </row>
    <row r="393" spans="2:2" ht="14.25" customHeight="1" x14ac:dyDescent="0.35">
      <c r="B393" t="s">
        <v>744</v>
      </c>
    </row>
    <row r="394" spans="2:2" ht="14.25" customHeight="1" x14ac:dyDescent="0.35">
      <c r="B394" t="s">
        <v>745</v>
      </c>
    </row>
    <row r="395" spans="2:2" ht="14.25" customHeight="1" x14ac:dyDescent="0.35">
      <c r="B395" t="s">
        <v>746</v>
      </c>
    </row>
    <row r="398" spans="2:2" ht="14.25" customHeight="1" x14ac:dyDescent="0.35">
      <c r="B398" t="s">
        <v>32</v>
      </c>
    </row>
    <row r="399" spans="2:2" ht="14.25" customHeight="1" x14ac:dyDescent="0.35">
      <c r="B399" t="s">
        <v>588</v>
      </c>
    </row>
    <row r="400" spans="2:2" ht="14.25" customHeight="1" x14ac:dyDescent="0.35">
      <c r="B400" t="s">
        <v>747</v>
      </c>
    </row>
    <row r="401" spans="2:2" ht="14.25" customHeight="1" x14ac:dyDescent="0.35">
      <c r="B401" t="s">
        <v>748</v>
      </c>
    </row>
    <row r="402" spans="2:2" ht="14.25" customHeight="1" x14ac:dyDescent="0.35">
      <c r="B402" t="s">
        <v>749</v>
      </c>
    </row>
    <row r="403" spans="2:2" ht="14.25" customHeight="1" x14ac:dyDescent="0.35">
      <c r="B403" t="s">
        <v>750</v>
      </c>
    </row>
  </sheetData>
  <mergeCells count="1">
    <mergeCell ref="B12:C12"/>
  </mergeCells>
  <hyperlinks>
    <hyperlink ref="F51" r:id="rId1" xr:uid="{00000000-0004-0000-0C00-000000000000}"/>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8"/>
  <sheetViews>
    <sheetView zoomScaleNormal="100" workbookViewId="0">
      <selection activeCell="A5" sqref="A5"/>
    </sheetView>
  </sheetViews>
  <sheetFormatPr defaultColWidth="8.54296875" defaultRowHeight="14.5" x14ac:dyDescent="0.35"/>
  <cols>
    <col min="1" max="1" width="8" customWidth="1"/>
    <col min="2" max="2" width="18" customWidth="1"/>
    <col min="3" max="3" width="50" customWidth="1"/>
    <col min="4" max="5" width="40" customWidth="1"/>
  </cols>
  <sheetData>
    <row r="1" spans="1:5" ht="19.5" customHeight="1" x14ac:dyDescent="0.5">
      <c r="A1" s="62" t="s">
        <v>751</v>
      </c>
    </row>
    <row r="2" spans="1:5" ht="15" customHeight="1" x14ac:dyDescent="0.35">
      <c r="A2" s="63" t="s">
        <v>752</v>
      </c>
    </row>
    <row r="4" spans="1:5" ht="15" customHeight="1" x14ac:dyDescent="0.35">
      <c r="A4" s="64" t="s">
        <v>753</v>
      </c>
      <c r="B4" s="64" t="s">
        <v>754</v>
      </c>
      <c r="C4" s="64" t="s">
        <v>755</v>
      </c>
      <c r="D4" s="64" t="s">
        <v>49</v>
      </c>
      <c r="E4" s="64" t="s">
        <v>79</v>
      </c>
    </row>
    <row r="5" spans="1:5" ht="91.5" customHeight="1" x14ac:dyDescent="0.35">
      <c r="A5" s="65">
        <v>0</v>
      </c>
      <c r="B5" s="66" t="s">
        <v>756</v>
      </c>
      <c r="C5" s="67" t="s">
        <v>757</v>
      </c>
      <c r="D5" s="67" t="s">
        <v>758</v>
      </c>
      <c r="E5" s="67" t="s">
        <v>759</v>
      </c>
    </row>
    <row r="6" spans="1:5" ht="91.5" customHeight="1" x14ac:dyDescent="0.35">
      <c r="A6" s="68">
        <v>1</v>
      </c>
      <c r="B6" s="69" t="s">
        <v>760</v>
      </c>
      <c r="C6" s="67" t="s">
        <v>761</v>
      </c>
      <c r="D6" s="67" t="s">
        <v>762</v>
      </c>
      <c r="E6" s="67" t="s">
        <v>763</v>
      </c>
    </row>
    <row r="7" spans="1:5" ht="91.5" customHeight="1" x14ac:dyDescent="0.35">
      <c r="A7" s="70">
        <v>2</v>
      </c>
      <c r="B7" s="71" t="s">
        <v>764</v>
      </c>
      <c r="C7" s="67" t="s">
        <v>765</v>
      </c>
      <c r="D7" s="67" t="s">
        <v>766</v>
      </c>
      <c r="E7" s="67" t="s">
        <v>767</v>
      </c>
    </row>
    <row r="8" spans="1:5" ht="91.5" customHeight="1" x14ac:dyDescent="0.35">
      <c r="A8" s="72">
        <v>3</v>
      </c>
      <c r="B8" s="73" t="s">
        <v>768</v>
      </c>
      <c r="C8" s="67" t="s">
        <v>769</v>
      </c>
      <c r="D8" s="67" t="s">
        <v>770</v>
      </c>
      <c r="E8" s="67" t="s">
        <v>771</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68"/>
  <sheetViews>
    <sheetView zoomScaleNormal="100" workbookViewId="0">
      <pane ySplit="3" topLeftCell="A12" activePane="bottomLeft" state="frozen"/>
      <selection pane="bottomLeft" activeCell="D8" sqref="D8"/>
    </sheetView>
  </sheetViews>
  <sheetFormatPr defaultColWidth="8.54296875" defaultRowHeight="14.5" x14ac:dyDescent="0.35"/>
  <cols>
    <col min="1" max="1" width="22" customWidth="1"/>
    <col min="2" max="2" width="34" customWidth="1"/>
    <col min="3" max="3" width="18" customWidth="1"/>
    <col min="4" max="4" width="55" customWidth="1"/>
    <col min="5" max="5" width="40" hidden="1" customWidth="1"/>
    <col min="6" max="6" width="11" customWidth="1"/>
    <col min="7" max="7" width="13" customWidth="1"/>
    <col min="8" max="9" width="34" customWidth="1"/>
    <col min="10" max="10" width="40" customWidth="1"/>
    <col min="11" max="11" width="28" customWidth="1"/>
  </cols>
  <sheetData>
    <row r="1" spans="1:11" ht="21" x14ac:dyDescent="0.5">
      <c r="A1" s="62" t="s">
        <v>772</v>
      </c>
    </row>
    <row r="2" spans="1:11" x14ac:dyDescent="0.35">
      <c r="A2" s="63" t="s">
        <v>773</v>
      </c>
    </row>
    <row r="3" spans="1:11" x14ac:dyDescent="0.35">
      <c r="A3" s="74" t="s">
        <v>340</v>
      </c>
      <c r="B3" s="74" t="s">
        <v>774</v>
      </c>
      <c r="C3" s="74" t="s">
        <v>775</v>
      </c>
      <c r="D3" s="74" t="s">
        <v>41</v>
      </c>
      <c r="E3" s="74" t="s">
        <v>43</v>
      </c>
      <c r="F3" s="74" t="s">
        <v>776</v>
      </c>
      <c r="G3" s="74" t="s">
        <v>777</v>
      </c>
      <c r="H3" s="74" t="s">
        <v>778</v>
      </c>
      <c r="I3" s="74" t="s">
        <v>779</v>
      </c>
      <c r="J3" s="74" t="s">
        <v>780</v>
      </c>
      <c r="K3" s="74" t="s">
        <v>48</v>
      </c>
    </row>
    <row r="4" spans="1:11" ht="43.5" x14ac:dyDescent="0.35">
      <c r="A4" s="75" t="s">
        <v>3</v>
      </c>
      <c r="B4" s="67" t="s">
        <v>50</v>
      </c>
      <c r="C4" s="75" t="s">
        <v>49</v>
      </c>
      <c r="D4" s="67" t="s">
        <v>51</v>
      </c>
      <c r="E4" s="67" t="s">
        <v>53</v>
      </c>
      <c r="F4" s="75"/>
      <c r="G4" s="75">
        <v>3</v>
      </c>
      <c r="H4" s="67"/>
      <c r="I4" s="67"/>
      <c r="J4" s="67"/>
      <c r="K4" s="67"/>
    </row>
    <row r="5" spans="1:11" ht="43.5" x14ac:dyDescent="0.35">
      <c r="A5" s="75" t="s">
        <v>3</v>
      </c>
      <c r="B5" s="67" t="s">
        <v>56</v>
      </c>
      <c r="C5" s="75" t="s">
        <v>49</v>
      </c>
      <c r="D5" s="67" t="s">
        <v>57</v>
      </c>
      <c r="E5" s="67" t="s">
        <v>59</v>
      </c>
      <c r="F5" s="75"/>
      <c r="G5" s="75">
        <v>3</v>
      </c>
      <c r="H5" s="67"/>
      <c r="I5" s="67"/>
      <c r="J5" s="67"/>
      <c r="K5" s="67"/>
    </row>
    <row r="6" spans="1:11" ht="43.5" x14ac:dyDescent="0.35">
      <c r="A6" s="75" t="s">
        <v>3</v>
      </c>
      <c r="B6" s="67" t="s">
        <v>62</v>
      </c>
      <c r="C6" s="75" t="s">
        <v>49</v>
      </c>
      <c r="D6" s="67" t="s">
        <v>63</v>
      </c>
      <c r="E6" s="67" t="s">
        <v>65</v>
      </c>
      <c r="F6" s="75"/>
      <c r="G6" s="75">
        <v>3</v>
      </c>
      <c r="H6" s="67"/>
      <c r="I6" s="67"/>
      <c r="J6" s="67"/>
      <c r="K6" s="67"/>
    </row>
    <row r="7" spans="1:11" ht="43.5" x14ac:dyDescent="0.35">
      <c r="A7" s="75" t="s">
        <v>3</v>
      </c>
      <c r="B7" s="67" t="s">
        <v>68</v>
      </c>
      <c r="C7" s="75" t="s">
        <v>49</v>
      </c>
      <c r="D7" s="67" t="s">
        <v>69</v>
      </c>
      <c r="E7" s="67" t="s">
        <v>71</v>
      </c>
      <c r="F7" s="75"/>
      <c r="G7" s="75">
        <v>3</v>
      </c>
      <c r="H7" s="67"/>
      <c r="I7" s="67"/>
      <c r="J7" s="67"/>
      <c r="K7" s="67"/>
    </row>
    <row r="8" spans="1:11" ht="43.5" x14ac:dyDescent="0.35">
      <c r="A8" s="75" t="s">
        <v>3</v>
      </c>
      <c r="B8" s="67" t="s">
        <v>74</v>
      </c>
      <c r="C8" s="75" t="s">
        <v>49</v>
      </c>
      <c r="D8" s="67" t="s">
        <v>75</v>
      </c>
      <c r="E8" s="67" t="s">
        <v>76</v>
      </c>
      <c r="F8" s="75"/>
      <c r="G8" s="75">
        <v>3</v>
      </c>
      <c r="H8" s="67"/>
      <c r="I8" s="67"/>
      <c r="J8" s="67"/>
      <c r="K8" s="67"/>
    </row>
    <row r="9" spans="1:11" ht="72.5" x14ac:dyDescent="0.35">
      <c r="A9" s="75" t="s">
        <v>3</v>
      </c>
      <c r="B9" s="67" t="s">
        <v>80</v>
      </c>
      <c r="C9" s="75" t="s">
        <v>79</v>
      </c>
      <c r="D9" s="67" t="s">
        <v>81</v>
      </c>
      <c r="E9" s="67" t="s">
        <v>82</v>
      </c>
      <c r="F9" s="75"/>
      <c r="G9" s="75">
        <v>3</v>
      </c>
      <c r="H9" s="67"/>
      <c r="I9" s="67"/>
      <c r="J9" s="67"/>
      <c r="K9" s="67"/>
    </row>
    <row r="10" spans="1:11" ht="58" x14ac:dyDescent="0.35">
      <c r="A10" s="75" t="s">
        <v>3</v>
      </c>
      <c r="B10" s="67" t="s">
        <v>86</v>
      </c>
      <c r="C10" s="75" t="s">
        <v>79</v>
      </c>
      <c r="D10" s="67" t="s">
        <v>87</v>
      </c>
      <c r="E10" s="67" t="s">
        <v>88</v>
      </c>
      <c r="F10" s="75"/>
      <c r="G10" s="75">
        <v>3</v>
      </c>
      <c r="H10" s="67"/>
      <c r="I10" s="67"/>
      <c r="J10" s="67"/>
      <c r="K10" s="67"/>
    </row>
    <row r="11" spans="1:11" ht="43.5" x14ac:dyDescent="0.35">
      <c r="A11" s="75" t="s">
        <v>3</v>
      </c>
      <c r="B11" s="67" t="s">
        <v>92</v>
      </c>
      <c r="C11" s="75" t="s">
        <v>79</v>
      </c>
      <c r="D11" s="67" t="s">
        <v>93</v>
      </c>
      <c r="E11" s="67" t="s">
        <v>94</v>
      </c>
      <c r="F11" s="75"/>
      <c r="G11" s="75">
        <v>3</v>
      </c>
      <c r="H11" s="67"/>
      <c r="I11" s="67"/>
      <c r="J11" s="67"/>
      <c r="K11" s="67"/>
    </row>
    <row r="12" spans="1:11" ht="72.5" x14ac:dyDescent="0.35">
      <c r="A12" s="75" t="s">
        <v>3</v>
      </c>
      <c r="B12" s="67" t="s">
        <v>98</v>
      </c>
      <c r="C12" s="75" t="s">
        <v>79</v>
      </c>
      <c r="D12" s="67" t="s">
        <v>99</v>
      </c>
      <c r="E12" s="67" t="s">
        <v>100</v>
      </c>
      <c r="F12" s="75"/>
      <c r="G12" s="75">
        <v>3</v>
      </c>
      <c r="H12" s="67"/>
      <c r="I12" s="67"/>
      <c r="J12" s="67"/>
      <c r="K12" s="67"/>
    </row>
    <row r="13" spans="1:11" x14ac:dyDescent="0.35">
      <c r="A13" s="76" t="s">
        <v>3</v>
      </c>
      <c r="B13" s="77" t="s">
        <v>781</v>
      </c>
      <c r="C13" s="76"/>
      <c r="D13" s="78"/>
      <c r="E13" s="78"/>
      <c r="F13" s="76"/>
      <c r="G13" s="76"/>
      <c r="H13" s="78"/>
      <c r="I13" s="78"/>
      <c r="J13" s="78"/>
      <c r="K13" s="78"/>
    </row>
    <row r="14" spans="1:11" ht="43.5" x14ac:dyDescent="0.35">
      <c r="A14" s="75" t="s">
        <v>7</v>
      </c>
      <c r="B14" s="67" t="s">
        <v>107</v>
      </c>
      <c r="C14" s="75" t="s">
        <v>49</v>
      </c>
      <c r="D14" s="67" t="s">
        <v>108</v>
      </c>
      <c r="E14" s="67" t="s">
        <v>109</v>
      </c>
      <c r="F14" s="75"/>
      <c r="G14" s="75">
        <v>3</v>
      </c>
      <c r="H14" s="67"/>
      <c r="I14" s="67"/>
      <c r="J14" s="67"/>
      <c r="K14" s="67"/>
    </row>
    <row r="15" spans="1:11" ht="43.5" x14ac:dyDescent="0.35">
      <c r="A15" s="75" t="s">
        <v>7</v>
      </c>
      <c r="B15" s="67" t="s">
        <v>112</v>
      </c>
      <c r="C15" s="75" t="s">
        <v>49</v>
      </c>
      <c r="D15" s="67" t="s">
        <v>113</v>
      </c>
      <c r="E15" s="67"/>
      <c r="F15" s="75"/>
      <c r="G15" s="75">
        <v>3</v>
      </c>
      <c r="H15" s="67"/>
      <c r="I15" s="67"/>
      <c r="J15" s="67"/>
      <c r="K15" s="67"/>
    </row>
    <row r="16" spans="1:11" ht="43.5" x14ac:dyDescent="0.35">
      <c r="A16" s="75" t="s">
        <v>7</v>
      </c>
      <c r="B16" s="67" t="s">
        <v>115</v>
      </c>
      <c r="C16" s="75" t="s">
        <v>49</v>
      </c>
      <c r="D16" s="67" t="s">
        <v>116</v>
      </c>
      <c r="E16" s="67" t="s">
        <v>117</v>
      </c>
      <c r="F16" s="75"/>
      <c r="G16" s="75">
        <v>3</v>
      </c>
      <c r="H16" s="67"/>
      <c r="I16" s="67"/>
      <c r="J16" s="67"/>
      <c r="K16" s="67"/>
    </row>
    <row r="17" spans="1:11" ht="43.5" x14ac:dyDescent="0.35">
      <c r="A17" s="75" t="s">
        <v>7</v>
      </c>
      <c r="B17" s="67" t="s">
        <v>118</v>
      </c>
      <c r="C17" s="75" t="s">
        <v>49</v>
      </c>
      <c r="D17" s="67" t="s">
        <v>119</v>
      </c>
      <c r="E17" s="67" t="s">
        <v>120</v>
      </c>
      <c r="F17" s="75"/>
      <c r="G17" s="75">
        <v>3</v>
      </c>
      <c r="H17" s="67"/>
      <c r="I17" s="67"/>
      <c r="J17" s="67"/>
      <c r="K17" s="67"/>
    </row>
    <row r="18" spans="1:11" ht="58" x14ac:dyDescent="0.35">
      <c r="A18" s="75" t="s">
        <v>7</v>
      </c>
      <c r="B18" s="67" t="s">
        <v>637</v>
      </c>
      <c r="C18" s="75" t="s">
        <v>104</v>
      </c>
      <c r="D18" s="67" t="s">
        <v>124</v>
      </c>
      <c r="E18" s="67" t="s">
        <v>125</v>
      </c>
      <c r="F18" s="75"/>
      <c r="G18" s="75">
        <v>3</v>
      </c>
      <c r="H18" s="67"/>
      <c r="I18" s="67"/>
      <c r="J18" s="67"/>
      <c r="K18" s="67"/>
    </row>
    <row r="19" spans="1:11" ht="58" x14ac:dyDescent="0.35">
      <c r="A19" s="75" t="s">
        <v>7</v>
      </c>
      <c r="B19" s="67" t="s">
        <v>128</v>
      </c>
      <c r="C19" s="75" t="s">
        <v>79</v>
      </c>
      <c r="D19" s="67" t="s">
        <v>129</v>
      </c>
      <c r="E19" s="67" t="s">
        <v>130</v>
      </c>
      <c r="F19" s="75"/>
      <c r="G19" s="75">
        <v>3</v>
      </c>
      <c r="H19" s="67"/>
      <c r="I19" s="67"/>
      <c r="J19" s="67"/>
      <c r="K19" s="67"/>
    </row>
    <row r="20" spans="1:11" x14ac:dyDescent="0.35">
      <c r="A20" s="75" t="s">
        <v>7</v>
      </c>
      <c r="B20" s="67" t="s">
        <v>135</v>
      </c>
      <c r="C20" s="75" t="s">
        <v>79</v>
      </c>
      <c r="D20" s="67" t="s">
        <v>136</v>
      </c>
      <c r="E20" s="67"/>
      <c r="F20" s="75"/>
      <c r="G20" s="75">
        <v>3</v>
      </c>
      <c r="H20" s="67"/>
      <c r="I20" s="67"/>
      <c r="J20" s="67"/>
      <c r="K20" s="67"/>
    </row>
    <row r="21" spans="1:11" ht="58" x14ac:dyDescent="0.35">
      <c r="A21" s="75" t="s">
        <v>7</v>
      </c>
      <c r="B21" s="67" t="s">
        <v>137</v>
      </c>
      <c r="C21" s="75" t="s">
        <v>79</v>
      </c>
      <c r="D21" s="67" t="s">
        <v>138</v>
      </c>
      <c r="E21" s="67" t="s">
        <v>139</v>
      </c>
      <c r="F21" s="75"/>
      <c r="G21" s="75">
        <v>3</v>
      </c>
      <c r="H21" s="67"/>
      <c r="I21" s="67"/>
      <c r="J21" s="67"/>
      <c r="K21" s="67"/>
    </row>
    <row r="22" spans="1:11" ht="58" x14ac:dyDescent="0.35">
      <c r="A22" s="75" t="s">
        <v>7</v>
      </c>
      <c r="B22" s="67" t="s">
        <v>143</v>
      </c>
      <c r="C22" s="75" t="s">
        <v>79</v>
      </c>
      <c r="D22" s="67" t="s">
        <v>144</v>
      </c>
      <c r="E22" s="67" t="s">
        <v>145</v>
      </c>
      <c r="F22" s="75"/>
      <c r="G22" s="75">
        <v>3</v>
      </c>
      <c r="H22" s="67"/>
      <c r="I22" s="67"/>
      <c r="J22" s="67"/>
      <c r="K22" s="67"/>
    </row>
    <row r="23" spans="1:11" ht="29" x14ac:dyDescent="0.35">
      <c r="A23" s="75" t="s">
        <v>7</v>
      </c>
      <c r="B23" s="67" t="s">
        <v>149</v>
      </c>
      <c r="C23" s="75" t="s">
        <v>79</v>
      </c>
      <c r="D23" s="67" t="s">
        <v>150</v>
      </c>
      <c r="E23" s="67"/>
      <c r="F23" s="75"/>
      <c r="G23" s="75">
        <v>3</v>
      </c>
      <c r="H23" s="67"/>
      <c r="I23" s="67"/>
      <c r="J23" s="67"/>
      <c r="K23" s="67"/>
    </row>
    <row r="24" spans="1:11" ht="72.5" x14ac:dyDescent="0.35">
      <c r="A24" s="75" t="s">
        <v>7</v>
      </c>
      <c r="B24" s="67" t="s">
        <v>151</v>
      </c>
      <c r="C24" s="75" t="s">
        <v>79</v>
      </c>
      <c r="D24" s="67" t="s">
        <v>152</v>
      </c>
      <c r="E24" s="67" t="s">
        <v>153</v>
      </c>
      <c r="F24" s="75"/>
      <c r="G24" s="75">
        <v>3</v>
      </c>
      <c r="H24" s="67"/>
      <c r="I24" s="67"/>
      <c r="J24" s="67"/>
      <c r="K24" s="67"/>
    </row>
    <row r="25" spans="1:11" x14ac:dyDescent="0.35">
      <c r="A25" s="76" t="s">
        <v>7</v>
      </c>
      <c r="B25" s="77" t="s">
        <v>781</v>
      </c>
      <c r="C25" s="76"/>
      <c r="D25" s="78"/>
      <c r="E25" s="78"/>
      <c r="F25" s="76"/>
      <c r="G25" s="76"/>
      <c r="H25" s="78"/>
      <c r="I25" s="78"/>
      <c r="J25" s="78"/>
      <c r="K25" s="78"/>
    </row>
    <row r="26" spans="1:11" ht="43.5" x14ac:dyDescent="0.35">
      <c r="A26" s="75" t="s">
        <v>11</v>
      </c>
      <c r="B26" s="67" t="s">
        <v>155</v>
      </c>
      <c r="C26" s="75" t="s">
        <v>49</v>
      </c>
      <c r="D26" s="67" t="s">
        <v>156</v>
      </c>
      <c r="E26" s="67" t="s">
        <v>157</v>
      </c>
      <c r="F26" s="75"/>
      <c r="G26" s="75">
        <v>3</v>
      </c>
      <c r="H26" s="67"/>
      <c r="I26" s="67"/>
      <c r="J26" s="67"/>
      <c r="K26" s="67"/>
    </row>
    <row r="27" spans="1:11" ht="58" x14ac:dyDescent="0.35">
      <c r="A27" s="75" t="s">
        <v>11</v>
      </c>
      <c r="B27" s="67" t="s">
        <v>159</v>
      </c>
      <c r="C27" s="75" t="s">
        <v>79</v>
      </c>
      <c r="D27" s="67" t="s">
        <v>160</v>
      </c>
      <c r="E27" s="67" t="s">
        <v>161</v>
      </c>
      <c r="F27" s="75"/>
      <c r="G27" s="75">
        <v>3</v>
      </c>
      <c r="H27" s="67"/>
      <c r="I27" s="67"/>
      <c r="J27" s="67"/>
      <c r="K27" s="67"/>
    </row>
    <row r="28" spans="1:11" ht="43.5" x14ac:dyDescent="0.35">
      <c r="A28" s="75" t="s">
        <v>11</v>
      </c>
      <c r="B28" s="67" t="s">
        <v>162</v>
      </c>
      <c r="C28" s="75" t="s">
        <v>79</v>
      </c>
      <c r="D28" s="67" t="s">
        <v>163</v>
      </c>
      <c r="E28" s="67" t="s">
        <v>164</v>
      </c>
      <c r="F28" s="75"/>
      <c r="G28" s="75">
        <v>3</v>
      </c>
      <c r="H28" s="67"/>
      <c r="I28" s="67"/>
      <c r="J28" s="67"/>
      <c r="K28" s="67"/>
    </row>
    <row r="29" spans="1:11" ht="43.5" x14ac:dyDescent="0.35">
      <c r="A29" s="75" t="s">
        <v>11</v>
      </c>
      <c r="B29" s="67" t="s">
        <v>165</v>
      </c>
      <c r="C29" s="75" t="s">
        <v>79</v>
      </c>
      <c r="D29" s="67" t="s">
        <v>166</v>
      </c>
      <c r="E29" s="67" t="s">
        <v>167</v>
      </c>
      <c r="F29" s="75"/>
      <c r="G29" s="75">
        <v>3</v>
      </c>
      <c r="H29" s="67"/>
      <c r="I29" s="67"/>
      <c r="J29" s="67"/>
      <c r="K29" s="67"/>
    </row>
    <row r="30" spans="1:11" x14ac:dyDescent="0.35">
      <c r="A30" s="76" t="s">
        <v>11</v>
      </c>
      <c r="B30" s="77" t="s">
        <v>781</v>
      </c>
      <c r="C30" s="76"/>
      <c r="D30" s="78"/>
      <c r="E30" s="78"/>
      <c r="F30" s="76"/>
      <c r="G30" s="76"/>
      <c r="H30" s="78"/>
      <c r="I30" s="78"/>
      <c r="J30" s="78"/>
      <c r="K30" s="78"/>
    </row>
    <row r="31" spans="1:11" ht="43.5" x14ac:dyDescent="0.35">
      <c r="A31" s="75" t="s">
        <v>15</v>
      </c>
      <c r="B31" s="67" t="s">
        <v>170</v>
      </c>
      <c r="C31" s="75" t="s">
        <v>49</v>
      </c>
      <c r="D31" s="67" t="s">
        <v>171</v>
      </c>
      <c r="E31" s="67" t="s">
        <v>173</v>
      </c>
      <c r="F31" s="75"/>
      <c r="G31" s="75">
        <v>3</v>
      </c>
      <c r="H31" s="67"/>
      <c r="I31" s="67"/>
      <c r="J31" s="67"/>
      <c r="K31" s="67"/>
    </row>
    <row r="32" spans="1:11" ht="58" x14ac:dyDescent="0.35">
      <c r="A32" s="75" t="s">
        <v>15</v>
      </c>
      <c r="B32" s="67" t="s">
        <v>176</v>
      </c>
      <c r="C32" s="75" t="s">
        <v>79</v>
      </c>
      <c r="D32" s="67" t="s">
        <v>177</v>
      </c>
      <c r="E32" s="67" t="s">
        <v>178</v>
      </c>
      <c r="F32" s="75"/>
      <c r="G32" s="75">
        <v>3</v>
      </c>
      <c r="H32" s="67"/>
      <c r="I32" s="67"/>
      <c r="J32" s="67"/>
      <c r="K32" s="67"/>
    </row>
    <row r="33" spans="1:11" ht="43.5" x14ac:dyDescent="0.35">
      <c r="A33" s="75" t="s">
        <v>15</v>
      </c>
      <c r="B33" s="67" t="s">
        <v>181</v>
      </c>
      <c r="C33" s="75" t="s">
        <v>79</v>
      </c>
      <c r="D33" s="67" t="s">
        <v>182</v>
      </c>
      <c r="E33" s="67" t="s">
        <v>183</v>
      </c>
      <c r="F33" s="75"/>
      <c r="G33" s="75">
        <v>3</v>
      </c>
      <c r="H33" s="67"/>
      <c r="I33" s="67"/>
      <c r="J33" s="67"/>
      <c r="K33" s="67"/>
    </row>
    <row r="34" spans="1:11" ht="58" x14ac:dyDescent="0.35">
      <c r="A34" s="75" t="s">
        <v>15</v>
      </c>
      <c r="B34" s="67" t="s">
        <v>185</v>
      </c>
      <c r="C34" s="75" t="s">
        <v>79</v>
      </c>
      <c r="D34" s="67" t="s">
        <v>186</v>
      </c>
      <c r="E34" s="67" t="s">
        <v>187</v>
      </c>
      <c r="F34" s="75"/>
      <c r="G34" s="75">
        <v>3</v>
      </c>
      <c r="H34" s="67"/>
      <c r="I34" s="67"/>
      <c r="J34" s="67"/>
      <c r="K34" s="67"/>
    </row>
    <row r="35" spans="1:11" x14ac:dyDescent="0.35">
      <c r="A35" s="76" t="s">
        <v>15</v>
      </c>
      <c r="B35" s="77" t="s">
        <v>781</v>
      </c>
      <c r="C35" s="76"/>
      <c r="D35" s="78"/>
      <c r="E35" s="78"/>
      <c r="F35" s="76"/>
      <c r="G35" s="76"/>
      <c r="H35" s="78"/>
      <c r="I35" s="78"/>
      <c r="J35" s="78"/>
      <c r="K35" s="78"/>
    </row>
    <row r="36" spans="1:11" ht="43.5" x14ac:dyDescent="0.35">
      <c r="A36" s="75" t="s">
        <v>18</v>
      </c>
      <c r="B36" s="67" t="s">
        <v>190</v>
      </c>
      <c r="C36" s="75" t="s">
        <v>79</v>
      </c>
      <c r="D36" s="67" t="s">
        <v>191</v>
      </c>
      <c r="E36" s="67" t="s">
        <v>192</v>
      </c>
      <c r="F36" s="75"/>
      <c r="G36" s="75">
        <v>3</v>
      </c>
      <c r="H36" s="67"/>
      <c r="I36" s="67"/>
      <c r="J36" s="67"/>
      <c r="K36" s="67"/>
    </row>
    <row r="37" spans="1:11" x14ac:dyDescent="0.35">
      <c r="A37" s="76" t="s">
        <v>18</v>
      </c>
      <c r="B37" s="77" t="s">
        <v>781</v>
      </c>
      <c r="C37" s="76"/>
      <c r="D37" s="78"/>
      <c r="E37" s="78"/>
      <c r="F37" s="76"/>
      <c r="G37" s="76"/>
      <c r="H37" s="78"/>
      <c r="I37" s="78"/>
      <c r="J37" s="78"/>
      <c r="K37" s="78"/>
    </row>
    <row r="38" spans="1:11" ht="43.5" x14ac:dyDescent="0.35">
      <c r="A38" s="75" t="s">
        <v>21</v>
      </c>
      <c r="B38" s="67" t="s">
        <v>195</v>
      </c>
      <c r="C38" s="75" t="s">
        <v>49</v>
      </c>
      <c r="D38" s="67" t="s">
        <v>196</v>
      </c>
      <c r="E38" s="67" t="s">
        <v>198</v>
      </c>
      <c r="F38" s="75"/>
      <c r="G38" s="75">
        <v>3</v>
      </c>
      <c r="H38" s="67"/>
      <c r="I38" s="67"/>
      <c r="J38" s="67"/>
      <c r="K38" s="67"/>
    </row>
    <row r="39" spans="1:11" ht="43.5" x14ac:dyDescent="0.35">
      <c r="A39" s="75" t="s">
        <v>21</v>
      </c>
      <c r="B39" s="67" t="s">
        <v>201</v>
      </c>
      <c r="C39" s="75" t="s">
        <v>49</v>
      </c>
      <c r="D39" s="67" t="s">
        <v>202</v>
      </c>
      <c r="E39" s="67" t="s">
        <v>204</v>
      </c>
      <c r="F39" s="75"/>
      <c r="G39" s="75">
        <v>3</v>
      </c>
      <c r="H39" s="67"/>
      <c r="I39" s="67"/>
      <c r="J39" s="67"/>
      <c r="K39" s="67"/>
    </row>
    <row r="40" spans="1:11" ht="43.5" x14ac:dyDescent="0.35">
      <c r="A40" s="75" t="s">
        <v>21</v>
      </c>
      <c r="B40" s="67" t="s">
        <v>207</v>
      </c>
      <c r="C40" s="75" t="s">
        <v>49</v>
      </c>
      <c r="D40" s="67" t="s">
        <v>208</v>
      </c>
      <c r="E40" s="67" t="s">
        <v>209</v>
      </c>
      <c r="F40" s="75"/>
      <c r="G40" s="75">
        <v>3</v>
      </c>
      <c r="H40" s="67"/>
      <c r="I40" s="67"/>
      <c r="J40" s="67"/>
      <c r="K40" s="67"/>
    </row>
    <row r="41" spans="1:11" ht="58" x14ac:dyDescent="0.35">
      <c r="A41" s="75" t="s">
        <v>21</v>
      </c>
      <c r="B41" s="67" t="s">
        <v>212</v>
      </c>
      <c r="C41" s="75" t="s">
        <v>79</v>
      </c>
      <c r="D41" s="67" t="s">
        <v>213</v>
      </c>
      <c r="E41" s="67" t="s">
        <v>214</v>
      </c>
      <c r="F41" s="75"/>
      <c r="G41" s="75">
        <v>3</v>
      </c>
      <c r="H41" s="67"/>
      <c r="I41" s="67"/>
      <c r="J41" s="67"/>
      <c r="K41" s="67"/>
    </row>
    <row r="42" spans="1:11" ht="58" x14ac:dyDescent="0.35">
      <c r="A42" s="75" t="s">
        <v>21</v>
      </c>
      <c r="B42" s="67" t="s">
        <v>215</v>
      </c>
      <c r="C42" s="75" t="s">
        <v>79</v>
      </c>
      <c r="D42" s="67" t="s">
        <v>216</v>
      </c>
      <c r="E42" s="67" t="s">
        <v>217</v>
      </c>
      <c r="F42" s="75"/>
      <c r="G42" s="75">
        <v>3</v>
      </c>
      <c r="H42" s="67"/>
      <c r="I42" s="67"/>
      <c r="J42" s="67"/>
      <c r="K42" s="67"/>
    </row>
    <row r="43" spans="1:11" ht="58" x14ac:dyDescent="0.35">
      <c r="A43" s="75" t="s">
        <v>21</v>
      </c>
      <c r="B43" s="67" t="s">
        <v>218</v>
      </c>
      <c r="C43" s="75" t="s">
        <v>79</v>
      </c>
      <c r="D43" s="67" t="s">
        <v>219</v>
      </c>
      <c r="E43" s="67" t="s">
        <v>220</v>
      </c>
      <c r="F43" s="75"/>
      <c r="G43" s="75">
        <v>3</v>
      </c>
      <c r="H43" s="67"/>
      <c r="I43" s="67"/>
      <c r="J43" s="67"/>
      <c r="K43" s="67"/>
    </row>
    <row r="44" spans="1:11" ht="43.5" x14ac:dyDescent="0.35">
      <c r="A44" s="75" t="s">
        <v>21</v>
      </c>
      <c r="B44" s="67" t="s">
        <v>221</v>
      </c>
      <c r="C44" s="75" t="s">
        <v>79</v>
      </c>
      <c r="D44" s="67" t="s">
        <v>222</v>
      </c>
      <c r="E44" s="67" t="s">
        <v>223</v>
      </c>
      <c r="F44" s="75"/>
      <c r="G44" s="75">
        <v>3</v>
      </c>
      <c r="H44" s="67"/>
      <c r="I44" s="67"/>
      <c r="J44" s="67"/>
      <c r="K44" s="67"/>
    </row>
    <row r="45" spans="1:11" x14ac:dyDescent="0.35">
      <c r="A45" s="76" t="s">
        <v>21</v>
      </c>
      <c r="B45" s="77" t="s">
        <v>781</v>
      </c>
      <c r="C45" s="76"/>
      <c r="D45" s="78"/>
      <c r="E45" s="78"/>
      <c r="F45" s="76"/>
      <c r="G45" s="76"/>
      <c r="H45" s="78"/>
      <c r="I45" s="78"/>
      <c r="J45" s="78"/>
      <c r="K45" s="78"/>
    </row>
    <row r="46" spans="1:11" ht="43.5" x14ac:dyDescent="0.35">
      <c r="A46" s="75" t="s">
        <v>24</v>
      </c>
      <c r="B46" s="67" t="s">
        <v>224</v>
      </c>
      <c r="C46" s="75" t="s">
        <v>49</v>
      </c>
      <c r="D46" s="67" t="s">
        <v>225</v>
      </c>
      <c r="E46" s="67" t="s">
        <v>227</v>
      </c>
      <c r="F46" s="75"/>
      <c r="G46" s="75">
        <v>3</v>
      </c>
      <c r="H46" s="67"/>
      <c r="I46" s="67"/>
      <c r="J46" s="67"/>
      <c r="K46" s="67"/>
    </row>
    <row r="47" spans="1:11" ht="43.5" x14ac:dyDescent="0.35">
      <c r="A47" s="75" t="s">
        <v>24</v>
      </c>
      <c r="B47" s="67" t="s">
        <v>230</v>
      </c>
      <c r="C47" s="75" t="s">
        <v>49</v>
      </c>
      <c r="D47" s="67" t="s">
        <v>231</v>
      </c>
      <c r="E47" s="67" t="s">
        <v>233</v>
      </c>
      <c r="F47" s="75"/>
      <c r="G47" s="75">
        <v>3</v>
      </c>
      <c r="H47" s="67"/>
      <c r="I47" s="67"/>
      <c r="J47" s="67"/>
      <c r="K47" s="67"/>
    </row>
    <row r="48" spans="1:11" ht="43.5" x14ac:dyDescent="0.35">
      <c r="A48" s="75" t="s">
        <v>24</v>
      </c>
      <c r="B48" s="67" t="s">
        <v>234</v>
      </c>
      <c r="C48" s="75" t="s">
        <v>49</v>
      </c>
      <c r="D48" s="67" t="s">
        <v>235</v>
      </c>
      <c r="E48" s="67" t="s">
        <v>237</v>
      </c>
      <c r="F48" s="75"/>
      <c r="G48" s="75">
        <v>3</v>
      </c>
      <c r="H48" s="67"/>
      <c r="I48" s="67"/>
      <c r="J48" s="67"/>
      <c r="K48" s="67"/>
    </row>
    <row r="49" spans="1:11" ht="58" x14ac:dyDescent="0.35">
      <c r="A49" s="75" t="s">
        <v>24</v>
      </c>
      <c r="B49" s="67" t="s">
        <v>238</v>
      </c>
      <c r="C49" s="75" t="s">
        <v>79</v>
      </c>
      <c r="D49" s="67" t="s">
        <v>239</v>
      </c>
      <c r="E49" s="67" t="s">
        <v>240</v>
      </c>
      <c r="F49" s="75"/>
      <c r="G49" s="75">
        <v>3</v>
      </c>
      <c r="H49" s="67"/>
      <c r="I49" s="67"/>
      <c r="J49" s="67"/>
      <c r="K49" s="67"/>
    </row>
    <row r="50" spans="1:11" ht="58" x14ac:dyDescent="0.35">
      <c r="A50" s="75" t="s">
        <v>24</v>
      </c>
      <c r="B50" s="67" t="s">
        <v>241</v>
      </c>
      <c r="C50" s="75" t="s">
        <v>79</v>
      </c>
      <c r="D50" s="67" t="s">
        <v>242</v>
      </c>
      <c r="E50" s="67" t="s">
        <v>243</v>
      </c>
      <c r="F50" s="75"/>
      <c r="G50" s="75">
        <v>3</v>
      </c>
      <c r="H50" s="67"/>
      <c r="I50" s="67"/>
      <c r="J50" s="67"/>
      <c r="K50" s="67"/>
    </row>
    <row r="51" spans="1:11" ht="58" x14ac:dyDescent="0.35">
      <c r="A51" s="75" t="s">
        <v>24</v>
      </c>
      <c r="B51" s="67" t="s">
        <v>244</v>
      </c>
      <c r="C51" s="75" t="s">
        <v>79</v>
      </c>
      <c r="D51" s="67" t="s">
        <v>245</v>
      </c>
      <c r="E51" s="67" t="s">
        <v>246</v>
      </c>
      <c r="F51" s="75"/>
      <c r="G51" s="75">
        <v>3</v>
      </c>
      <c r="H51" s="67"/>
      <c r="I51" s="67"/>
      <c r="J51" s="67"/>
      <c r="K51" s="67"/>
    </row>
    <row r="52" spans="1:11" ht="58" x14ac:dyDescent="0.35">
      <c r="A52" s="75" t="s">
        <v>24</v>
      </c>
      <c r="B52" s="67" t="s">
        <v>247</v>
      </c>
      <c r="C52" s="75" t="s">
        <v>79</v>
      </c>
      <c r="D52" s="67" t="s">
        <v>248</v>
      </c>
      <c r="E52" s="67" t="s">
        <v>249</v>
      </c>
      <c r="F52" s="75"/>
      <c r="G52" s="75">
        <v>3</v>
      </c>
      <c r="H52" s="67"/>
      <c r="I52" s="67"/>
      <c r="J52" s="67"/>
      <c r="K52" s="67"/>
    </row>
    <row r="53" spans="1:11" x14ac:dyDescent="0.35">
      <c r="A53" s="76" t="s">
        <v>24</v>
      </c>
      <c r="B53" s="77" t="s">
        <v>781</v>
      </c>
      <c r="C53" s="76"/>
      <c r="D53" s="78"/>
      <c r="E53" s="78"/>
      <c r="F53" s="76"/>
      <c r="G53" s="76"/>
      <c r="H53" s="78"/>
      <c r="I53" s="78"/>
      <c r="J53" s="78"/>
      <c r="K53" s="78"/>
    </row>
    <row r="54" spans="1:11" ht="72.5" x14ac:dyDescent="0.35">
      <c r="A54" s="75" t="s">
        <v>26</v>
      </c>
      <c r="B54" s="67" t="s">
        <v>250</v>
      </c>
      <c r="C54" s="75" t="s">
        <v>79</v>
      </c>
      <c r="D54" s="67" t="s">
        <v>251</v>
      </c>
      <c r="E54" s="67" t="s">
        <v>252</v>
      </c>
      <c r="F54" s="75"/>
      <c r="G54" s="75">
        <v>3</v>
      </c>
      <c r="H54" s="67"/>
      <c r="I54" s="67"/>
      <c r="J54" s="67"/>
      <c r="K54" s="67"/>
    </row>
    <row r="55" spans="1:11" ht="58" x14ac:dyDescent="0.35">
      <c r="A55" s="75" t="s">
        <v>26</v>
      </c>
      <c r="B55" s="67" t="s">
        <v>255</v>
      </c>
      <c r="C55" s="75" t="s">
        <v>79</v>
      </c>
      <c r="D55" s="67" t="s">
        <v>256</v>
      </c>
      <c r="E55" s="67" t="s">
        <v>258</v>
      </c>
      <c r="F55" s="75"/>
      <c r="G55" s="75">
        <v>3</v>
      </c>
      <c r="H55" s="67"/>
      <c r="I55" s="67"/>
      <c r="J55" s="67"/>
      <c r="K55" s="67"/>
    </row>
    <row r="56" spans="1:11" x14ac:dyDescent="0.35">
      <c r="A56" s="76" t="s">
        <v>26</v>
      </c>
      <c r="B56" s="77" t="s">
        <v>781</v>
      </c>
      <c r="C56" s="76"/>
      <c r="D56" s="78"/>
      <c r="E56" s="78"/>
      <c r="F56" s="76"/>
      <c r="G56" s="76"/>
      <c r="H56" s="78"/>
      <c r="I56" s="78"/>
      <c r="J56" s="78"/>
      <c r="K56" s="78"/>
    </row>
    <row r="57" spans="1:11" ht="72.5" x14ac:dyDescent="0.35">
      <c r="A57" s="75" t="s">
        <v>30</v>
      </c>
      <c r="B57" s="67" t="s">
        <v>261</v>
      </c>
      <c r="C57" s="75" t="s">
        <v>79</v>
      </c>
      <c r="D57" s="67" t="s">
        <v>262</v>
      </c>
      <c r="E57" s="67" t="s">
        <v>263</v>
      </c>
      <c r="F57" s="75"/>
      <c r="G57" s="75">
        <v>3</v>
      </c>
      <c r="H57" s="67"/>
      <c r="I57" s="67"/>
      <c r="J57" s="67"/>
      <c r="K57" s="67"/>
    </row>
    <row r="58" spans="1:11" ht="72.5" x14ac:dyDescent="0.35">
      <c r="A58" s="75" t="s">
        <v>30</v>
      </c>
      <c r="B58" s="67" t="s">
        <v>266</v>
      </c>
      <c r="C58" s="75" t="s">
        <v>79</v>
      </c>
      <c r="D58" s="67" t="s">
        <v>267</v>
      </c>
      <c r="E58" s="67" t="s">
        <v>268</v>
      </c>
      <c r="F58" s="75"/>
      <c r="G58" s="75">
        <v>3</v>
      </c>
      <c r="H58" s="67"/>
      <c r="I58" s="67"/>
      <c r="J58" s="67"/>
      <c r="K58" s="67"/>
    </row>
    <row r="59" spans="1:11" x14ac:dyDescent="0.35">
      <c r="A59" s="76" t="s">
        <v>30</v>
      </c>
      <c r="B59" s="77" t="s">
        <v>781</v>
      </c>
      <c r="C59" s="76"/>
      <c r="D59" s="78"/>
      <c r="E59" s="78"/>
      <c r="F59" s="76"/>
      <c r="G59" s="76"/>
      <c r="H59" s="78"/>
      <c r="I59" s="78"/>
      <c r="J59" s="78"/>
      <c r="K59" s="78"/>
    </row>
    <row r="60" spans="1:11" ht="43.5" x14ac:dyDescent="0.35">
      <c r="A60" s="75" t="s">
        <v>32</v>
      </c>
      <c r="B60" s="67" t="s">
        <v>272</v>
      </c>
      <c r="C60" s="75" t="s">
        <v>49</v>
      </c>
      <c r="D60" s="67" t="s">
        <v>273</v>
      </c>
      <c r="E60" s="67" t="s">
        <v>275</v>
      </c>
      <c r="F60" s="75"/>
      <c r="G60" s="75">
        <v>3</v>
      </c>
      <c r="H60" s="67"/>
      <c r="I60" s="67"/>
      <c r="J60" s="67"/>
      <c r="K60" s="67"/>
    </row>
    <row r="61" spans="1:11" ht="43.5" x14ac:dyDescent="0.35">
      <c r="A61" s="75" t="s">
        <v>32</v>
      </c>
      <c r="B61" s="67" t="s">
        <v>277</v>
      </c>
      <c r="C61" s="75" t="s">
        <v>49</v>
      </c>
      <c r="D61" s="67" t="s">
        <v>278</v>
      </c>
      <c r="E61" s="67" t="s">
        <v>280</v>
      </c>
      <c r="F61" s="75"/>
      <c r="G61" s="75">
        <v>3</v>
      </c>
      <c r="H61" s="67"/>
      <c r="I61" s="67"/>
      <c r="J61" s="67"/>
      <c r="K61" s="67"/>
    </row>
    <row r="62" spans="1:11" ht="43.5" x14ac:dyDescent="0.35">
      <c r="A62" s="75" t="s">
        <v>32</v>
      </c>
      <c r="B62" s="67" t="s">
        <v>282</v>
      </c>
      <c r="C62" s="75" t="s">
        <v>49</v>
      </c>
      <c r="D62" s="67" t="s">
        <v>283</v>
      </c>
      <c r="E62" s="67" t="s">
        <v>275</v>
      </c>
      <c r="F62" s="75"/>
      <c r="G62" s="75">
        <v>3</v>
      </c>
      <c r="H62" s="67"/>
      <c r="I62" s="67"/>
      <c r="J62" s="67"/>
      <c r="K62" s="67"/>
    </row>
    <row r="63" spans="1:11" ht="43.5" x14ac:dyDescent="0.35">
      <c r="A63" s="75" t="s">
        <v>32</v>
      </c>
      <c r="B63" s="67" t="s">
        <v>286</v>
      </c>
      <c r="C63" s="75" t="s">
        <v>49</v>
      </c>
      <c r="D63" s="67" t="s">
        <v>287</v>
      </c>
      <c r="E63" s="67" t="s">
        <v>288</v>
      </c>
      <c r="F63" s="75"/>
      <c r="G63" s="75">
        <v>3</v>
      </c>
      <c r="H63" s="67"/>
      <c r="I63" s="67"/>
      <c r="J63" s="67"/>
      <c r="K63" s="67"/>
    </row>
    <row r="64" spans="1:11" ht="29" x14ac:dyDescent="0.35">
      <c r="A64" s="75" t="s">
        <v>32</v>
      </c>
      <c r="B64" s="67" t="s">
        <v>291</v>
      </c>
      <c r="C64" s="75" t="s">
        <v>79</v>
      </c>
      <c r="D64" s="67" t="s">
        <v>292</v>
      </c>
      <c r="E64" s="67" t="s">
        <v>293</v>
      </c>
      <c r="F64" s="75"/>
      <c r="G64" s="75">
        <v>3</v>
      </c>
      <c r="H64" s="67"/>
      <c r="I64" s="67"/>
      <c r="J64" s="67"/>
      <c r="K64" s="67"/>
    </row>
    <row r="65" spans="1:11" ht="58" x14ac:dyDescent="0.35">
      <c r="A65" s="75" t="s">
        <v>32</v>
      </c>
      <c r="B65" s="67" t="s">
        <v>296</v>
      </c>
      <c r="C65" s="75" t="s">
        <v>79</v>
      </c>
      <c r="D65" s="67" t="s">
        <v>297</v>
      </c>
      <c r="E65" s="67" t="s">
        <v>298</v>
      </c>
      <c r="F65" s="75"/>
      <c r="G65" s="75">
        <v>3</v>
      </c>
      <c r="H65" s="67"/>
      <c r="I65" s="67"/>
      <c r="J65" s="67"/>
      <c r="K65" s="67"/>
    </row>
    <row r="66" spans="1:11" ht="43.5" x14ac:dyDescent="0.35">
      <c r="A66" s="75" t="s">
        <v>32</v>
      </c>
      <c r="B66" s="67" t="s">
        <v>301</v>
      </c>
      <c r="C66" s="75" t="s">
        <v>79</v>
      </c>
      <c r="D66" s="67" t="s">
        <v>302</v>
      </c>
      <c r="E66" s="67" t="s">
        <v>303</v>
      </c>
      <c r="F66" s="75"/>
      <c r="G66" s="75">
        <v>3</v>
      </c>
      <c r="H66" s="67"/>
      <c r="I66" s="67"/>
      <c r="J66" s="67"/>
      <c r="K66" s="67"/>
    </row>
    <row r="67" spans="1:11" ht="58" x14ac:dyDescent="0.35">
      <c r="A67" s="75" t="s">
        <v>32</v>
      </c>
      <c r="B67" s="67" t="s">
        <v>306</v>
      </c>
      <c r="C67" s="75" t="s">
        <v>79</v>
      </c>
      <c r="D67" s="67" t="s">
        <v>307</v>
      </c>
      <c r="E67" s="67" t="s">
        <v>308</v>
      </c>
      <c r="F67" s="75"/>
      <c r="G67" s="75">
        <v>3</v>
      </c>
      <c r="H67" s="67"/>
      <c r="I67" s="67"/>
      <c r="J67" s="67"/>
      <c r="K67" s="67"/>
    </row>
    <row r="68" spans="1:11" x14ac:dyDescent="0.35">
      <c r="A68" s="76" t="s">
        <v>32</v>
      </c>
      <c r="B68" s="77" t="s">
        <v>781</v>
      </c>
      <c r="C68" s="76"/>
      <c r="D68" s="78"/>
      <c r="E68" s="78"/>
      <c r="F68" s="76"/>
      <c r="G68" s="76"/>
      <c r="H68" s="78"/>
      <c r="I68" s="78"/>
      <c r="J68" s="78"/>
      <c r="K68" s="78"/>
    </row>
  </sheetData>
  <dataValidations count="1">
    <dataValidation type="whole" allowBlank="1" showErrorMessage="1" errorTitle="Invalid score" error="Enter a whole number 0-3." sqref="F4:F12 F14:F24 F26:F29 F31:F34 F36 F38:F44 F46:F52 F54:F55 F57:F58 F60:F67" xr:uid="{00000000-0002-0000-0E00-000000000000}">
      <formula1>0</formula1>
      <formula2>3</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7"/>
  <sheetViews>
    <sheetView tabSelected="1" zoomScaleNormal="100" workbookViewId="0">
      <selection activeCell="A17" sqref="A17"/>
    </sheetView>
  </sheetViews>
  <sheetFormatPr defaultColWidth="8.54296875" defaultRowHeight="14.5" x14ac:dyDescent="0.35"/>
  <cols>
    <col min="1" max="1" width="24" customWidth="1"/>
    <col min="2" max="2" width="10" customWidth="1"/>
    <col min="3" max="4" width="12" customWidth="1"/>
    <col min="5" max="5" width="10" customWidth="1"/>
  </cols>
  <sheetData>
    <row r="1" spans="1:6" ht="21" x14ac:dyDescent="0.5">
      <c r="A1" s="62" t="s">
        <v>782</v>
      </c>
    </row>
    <row r="2" spans="1:6" x14ac:dyDescent="0.35">
      <c r="A2" s="63" t="s">
        <v>783</v>
      </c>
      <c r="F2" t="s">
        <v>789</v>
      </c>
    </row>
    <row r="4" spans="1:6" x14ac:dyDescent="0.35">
      <c r="A4" s="64" t="s">
        <v>340</v>
      </c>
      <c r="B4" s="64" t="s">
        <v>784</v>
      </c>
      <c r="C4" s="64" t="s">
        <v>785</v>
      </c>
      <c r="D4" s="64" t="s">
        <v>786</v>
      </c>
      <c r="E4" s="64" t="s">
        <v>787</v>
      </c>
    </row>
    <row r="5" spans="1:6" x14ac:dyDescent="0.35">
      <c r="A5" s="79" t="s">
        <v>3</v>
      </c>
      <c r="B5" s="80">
        <f>COUNTIFS(Scoring!$A$4:$A$68,$A5,Scoring!$G$4:$G$68,3)</f>
        <v>9</v>
      </c>
      <c r="C5" s="80">
        <f>SUMIFS(Scoring!$F$4:$F$68,Scoring!$A$4:$A$68,$A5,Scoring!$G$4:$G$68,3)</f>
        <v>0</v>
      </c>
      <c r="D5" s="80">
        <f t="shared" ref="D5:D14" si="0">B5*3</f>
        <v>27</v>
      </c>
      <c r="E5" s="81">
        <f t="shared" ref="E5:E15" si="1">IF(D5=0,0,C5/D5)</f>
        <v>0</v>
      </c>
    </row>
    <row r="6" spans="1:6" x14ac:dyDescent="0.35">
      <c r="A6" s="79" t="s">
        <v>7</v>
      </c>
      <c r="B6" s="80">
        <f>COUNTIFS(Scoring!$A$4:$A$68,$A6,Scoring!$G$4:$G$68,3)</f>
        <v>11</v>
      </c>
      <c r="C6" s="80">
        <f>SUMIFS(Scoring!$F$4:$F$68,Scoring!$A$4:$A$68,$A6,Scoring!$G$4:$G$68,3)</f>
        <v>0</v>
      </c>
      <c r="D6" s="80">
        <f t="shared" si="0"/>
        <v>33</v>
      </c>
      <c r="E6" s="81">
        <f t="shared" si="1"/>
        <v>0</v>
      </c>
    </row>
    <row r="7" spans="1:6" x14ac:dyDescent="0.35">
      <c r="A7" s="79" t="s">
        <v>11</v>
      </c>
      <c r="B7" s="80">
        <f>COUNTIFS(Scoring!$A$4:$A$68,$A7,Scoring!$G$4:$G$68,3)</f>
        <v>4</v>
      </c>
      <c r="C7" s="80">
        <f>SUMIFS(Scoring!$F$4:$F$68,Scoring!$A$4:$A$68,$A7,Scoring!$G$4:$G$68,3)</f>
        <v>0</v>
      </c>
      <c r="D7" s="80">
        <f t="shared" si="0"/>
        <v>12</v>
      </c>
      <c r="E7" s="81">
        <f t="shared" si="1"/>
        <v>0</v>
      </c>
    </row>
    <row r="8" spans="1:6" x14ac:dyDescent="0.35">
      <c r="A8" s="79" t="s">
        <v>15</v>
      </c>
      <c r="B8" s="80">
        <f>COUNTIFS(Scoring!$A$4:$A$68,$A8,Scoring!$G$4:$G$68,3)</f>
        <v>4</v>
      </c>
      <c r="C8" s="80">
        <f>SUMIFS(Scoring!$F$4:$F$68,Scoring!$A$4:$A$68,$A8,Scoring!$G$4:$G$68,3)</f>
        <v>0</v>
      </c>
      <c r="D8" s="80">
        <f t="shared" si="0"/>
        <v>12</v>
      </c>
      <c r="E8" s="81">
        <f t="shared" si="1"/>
        <v>0</v>
      </c>
    </row>
    <row r="9" spans="1:6" x14ac:dyDescent="0.35">
      <c r="A9" s="79" t="s">
        <v>18</v>
      </c>
      <c r="B9" s="80">
        <f>COUNTIFS(Scoring!$A$4:$A$68,$A9,Scoring!$G$4:$G$68,3)</f>
        <v>1</v>
      </c>
      <c r="C9" s="80">
        <f>SUMIFS(Scoring!$F$4:$F$68,Scoring!$A$4:$A$68,$A9,Scoring!$G$4:$G$68,3)</f>
        <v>0</v>
      </c>
      <c r="D9" s="80">
        <f t="shared" si="0"/>
        <v>3</v>
      </c>
      <c r="E9" s="81">
        <f t="shared" si="1"/>
        <v>0</v>
      </c>
    </row>
    <row r="10" spans="1:6" x14ac:dyDescent="0.35">
      <c r="A10" s="79" t="s">
        <v>21</v>
      </c>
      <c r="B10" s="80">
        <f>COUNTIFS(Scoring!$A$4:$A$68,$A10,Scoring!$G$4:$G$68,3)</f>
        <v>7</v>
      </c>
      <c r="C10" s="80">
        <f>SUMIFS(Scoring!$F$4:$F$68,Scoring!$A$4:$A$68,$A10,Scoring!$G$4:$G$68,3)</f>
        <v>0</v>
      </c>
      <c r="D10" s="80">
        <f t="shared" si="0"/>
        <v>21</v>
      </c>
      <c r="E10" s="81">
        <f t="shared" si="1"/>
        <v>0</v>
      </c>
    </row>
    <row r="11" spans="1:6" x14ac:dyDescent="0.35">
      <c r="A11" s="79" t="s">
        <v>24</v>
      </c>
      <c r="B11" s="80">
        <f>COUNTIFS(Scoring!$A$4:$A$68,$A11,Scoring!$G$4:$G$68,3)</f>
        <v>7</v>
      </c>
      <c r="C11" s="80">
        <f>SUMIFS(Scoring!$F$4:$F$68,Scoring!$A$4:$A$68,$A11,Scoring!$G$4:$G$68,3)</f>
        <v>0</v>
      </c>
      <c r="D11" s="80">
        <f t="shared" si="0"/>
        <v>21</v>
      </c>
      <c r="E11" s="81">
        <f t="shared" si="1"/>
        <v>0</v>
      </c>
    </row>
    <row r="12" spans="1:6" x14ac:dyDescent="0.35">
      <c r="A12" s="79" t="s">
        <v>26</v>
      </c>
      <c r="B12" s="80">
        <f>COUNTIFS(Scoring!$A$4:$A$68,$A12,Scoring!$G$4:$G$68,3)</f>
        <v>2</v>
      </c>
      <c r="C12" s="80">
        <f>SUMIFS(Scoring!$F$4:$F$68,Scoring!$A$4:$A$68,$A12,Scoring!$G$4:$G$68,3)</f>
        <v>0</v>
      </c>
      <c r="D12" s="80">
        <f t="shared" si="0"/>
        <v>6</v>
      </c>
      <c r="E12" s="81">
        <f t="shared" si="1"/>
        <v>0</v>
      </c>
    </row>
    <row r="13" spans="1:6" x14ac:dyDescent="0.35">
      <c r="A13" s="79" t="s">
        <v>30</v>
      </c>
      <c r="B13" s="80">
        <f>COUNTIFS(Scoring!$A$4:$A$68,$A13,Scoring!$G$4:$G$68,3)</f>
        <v>2</v>
      </c>
      <c r="C13" s="80">
        <f>SUMIFS(Scoring!$F$4:$F$68,Scoring!$A$4:$A$68,$A13,Scoring!$G$4:$G$68,3)</f>
        <v>0</v>
      </c>
      <c r="D13" s="80">
        <f t="shared" si="0"/>
        <v>6</v>
      </c>
      <c r="E13" s="81">
        <f t="shared" si="1"/>
        <v>0</v>
      </c>
    </row>
    <row r="14" spans="1:6" x14ac:dyDescent="0.35">
      <c r="A14" s="79" t="s">
        <v>32</v>
      </c>
      <c r="B14" s="80">
        <f>COUNTIFS(Scoring!$A$4:$A$68,$A14,Scoring!$G$4:$G$68,3)</f>
        <v>8</v>
      </c>
      <c r="C14" s="80">
        <f>SUMIFS(Scoring!$F$4:$F$68,Scoring!$A$4:$A$68,$A14,Scoring!$G$4:$G$68,3)</f>
        <v>0</v>
      </c>
      <c r="D14" s="80">
        <f t="shared" si="0"/>
        <v>24</v>
      </c>
      <c r="E14" s="81">
        <f t="shared" si="1"/>
        <v>0</v>
      </c>
    </row>
    <row r="15" spans="1:6" x14ac:dyDescent="0.35">
      <c r="A15" s="82" t="s">
        <v>788</v>
      </c>
      <c r="B15" s="64">
        <f>SUM(B5:B14)</f>
        <v>55</v>
      </c>
      <c r="C15" s="64">
        <f>SUM(C5:C14)</f>
        <v>0</v>
      </c>
      <c r="D15" s="64">
        <f>SUM(D5:D14)</f>
        <v>165</v>
      </c>
      <c r="E15" s="83">
        <f t="shared" si="1"/>
        <v>0</v>
      </c>
    </row>
    <row r="17" spans="1:1" x14ac:dyDescent="0.35">
      <c r="A17" s="63" t="s">
        <v>789</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1136BCA033ACC4DBD28C5DA6B609730" ma:contentTypeVersion="3" ma:contentTypeDescription="Create a new document." ma:contentTypeScope="" ma:versionID="e66cf198bef35a48c23c1766ea6b4798">
  <xsd:schema xmlns:xsd="http://www.w3.org/2001/XMLSchema" xmlns:xs="http://www.w3.org/2001/XMLSchema" xmlns:p="http://schemas.microsoft.com/office/2006/metadata/properties" xmlns:ns2="65c528c5-ce2e-4f5e-b80f-ebff073f957f" targetNamespace="http://schemas.microsoft.com/office/2006/metadata/properties" ma:root="true" ma:fieldsID="ad818ee476145e4820c6f60ded242315" ns2:_="">
    <xsd:import namespace="65c528c5-ce2e-4f5e-b80f-ebff073f957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c528c5-ce2e-4f5e-b80f-ebff073f95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D67D08-F6F8-4548-AB96-237DF23CB3BD}">
  <ds:schemaRefs>
    <ds:schemaRef ds:uri="http://www.w3.org/XML/1998/namespace"/>
    <ds:schemaRef ds:uri="http://purl.org/dc/elements/1.1/"/>
    <ds:schemaRef ds:uri="http://schemas.microsoft.com/office/2006/documentManagement/types"/>
    <ds:schemaRef ds:uri="b086d817-b3ee-4ff8-b6db-d756fb4ebd31"/>
    <ds:schemaRef ds:uri="http://purl.org/dc/terms/"/>
    <ds:schemaRef ds:uri="http://schemas.openxmlformats.org/package/2006/metadata/core-properties"/>
    <ds:schemaRef ds:uri="http://purl.org/dc/dcmitype/"/>
    <ds:schemaRef ds:uri="http://schemas.microsoft.com/office/infopath/2007/PartnerControls"/>
    <ds:schemaRef ds:uri="31a20e02-3036-4447-9f8a-de37c083541d"/>
    <ds:schemaRef ds:uri="http://schemas.microsoft.com/office/2006/metadata/properties"/>
  </ds:schemaRefs>
</ds:datastoreItem>
</file>

<file path=customXml/itemProps2.xml><?xml version="1.0" encoding="utf-8"?>
<ds:datastoreItem xmlns:ds="http://schemas.openxmlformats.org/officeDocument/2006/customXml" ds:itemID="{F9BE12FC-40AD-420C-B495-009D044B7486}"/>
</file>

<file path=customXml/itemProps3.xml><?xml version="1.0" encoding="utf-8"?>
<ds:datastoreItem xmlns:ds="http://schemas.openxmlformats.org/officeDocument/2006/customXml" ds:itemID="{71104C70-9591-4554-973A-640F4A4C193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Domains</vt:lpstr>
      <vt:lpstr>Meeting Status</vt:lpstr>
      <vt:lpstr>Identity &amp; Directory</vt:lpstr>
      <vt:lpstr>Network</vt:lpstr>
      <vt:lpstr>Hosting &amp; Cloud</vt:lpstr>
      <vt:lpstr>M365 &amp; Email Security</vt:lpstr>
      <vt:lpstr>AI</vt:lpstr>
      <vt:lpstr>Application Inventory</vt:lpstr>
      <vt:lpstr>Endpoint</vt:lpstr>
      <vt:lpstr>Defense &amp; Response</vt:lpstr>
      <vt:lpstr>Third Parties &amp; Vendors</vt:lpstr>
      <vt:lpstr>Data &amp; Storage</vt:lpstr>
      <vt:lpstr>Policy Analysis</vt:lpstr>
      <vt:lpstr>Scoring Criteria</vt:lpstr>
      <vt:lpstr>Scoring</vt:lpstr>
      <vt:lpstr>Score Rollup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Hunt, Davelle</dc:creator>
  <cp:keywords/>
  <dc:description/>
  <cp:lastModifiedBy>Schlich Bill (Contractor)</cp:lastModifiedBy>
  <cp:revision>0</cp:revision>
  <dcterms:created xsi:type="dcterms:W3CDTF">2026-03-31T17:12:07Z</dcterms:created>
  <dcterms:modified xsi:type="dcterms:W3CDTF">2026-06-03T20:17:40Z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0x010100D1136BCA033ACC4DBD28C5DA6B609730</vt:lpwstr>
  </property>
  <property fmtid="{D5CDD505-2E9C-101B-9397-08002B2CF9AE}" pid="3" name="MediaServiceImageTags">
    <vt:lpwstr/>
  </property>
</Properties>
</file>