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2" customWidth="1" min="5" max="5"/>
    <col width="16" customWidth="1" min="6" max="6"/>
    <col width="14" customWidth="1" min="7" max="7"/>
    <col width="16" customWidth="1" min="8" max="8"/>
    <col width="16" customWidth="1" min="9" max="9"/>
    <col width="12" customWidth="1" min="10" max="10"/>
    <col width="14" customWidth="1" min="11" max="11"/>
    <col width="18" customWidth="1" min="12" max="12"/>
    <col width="20" customWidth="1" min="13" max="13"/>
    <col width="14" customWidth="1" min="14" max="14"/>
    <col width="14" customWidth="1" min="15" max="15"/>
    <col width="14" customWidth="1" min="16" max="16"/>
    <col width="30" customWidth="1" min="17" max="17"/>
  </cols>
  <sheetData>
    <row r="1" ht="30" customHeight="1">
      <c r="A1" s="1" t="inlineStr">
        <is>
          <t>Finding ID</t>
        </is>
      </c>
      <c r="B1" s="1" t="inlineStr">
        <is>
          <t>CVE ID</t>
        </is>
      </c>
      <c r="C1" s="1" t="inlineStr">
        <is>
          <t>CVSS Score</t>
        </is>
      </c>
      <c r="D1" s="1" t="inlineStr">
        <is>
          <t>Severity</t>
        </is>
      </c>
      <c r="E1" s="1" t="inlineStr">
        <is>
          <t>Asset Name</t>
        </is>
      </c>
      <c r="F1" s="1" t="inlineStr">
        <is>
          <t>Asset Type</t>
        </is>
      </c>
      <c r="G1" s="1" t="inlineStr">
        <is>
          <t>Environment</t>
        </is>
      </c>
      <c r="H1" s="1" t="inlineStr">
        <is>
          <t>Owner</t>
        </is>
      </c>
      <c r="I1" s="1" t="inlineStr">
        <is>
          <t>Date Identified</t>
        </is>
      </c>
      <c r="J1" s="1" t="inlineStr">
        <is>
          <t>Age (Days)</t>
        </is>
      </c>
      <c r="K1" s="1" t="inlineStr">
        <is>
          <t>Patch Available</t>
        </is>
      </c>
      <c r="L1" s="1" t="inlineStr">
        <is>
          <t>Exploitability (EPSS %)</t>
        </is>
      </c>
      <c r="M1" s="1" t="inlineStr">
        <is>
          <t>Remediation Priority</t>
        </is>
      </c>
      <c r="N1" s="1" t="inlineStr">
        <is>
          <t>Status</t>
        </is>
      </c>
      <c r="O1" s="1" t="inlineStr">
        <is>
          <t>Target Date</t>
        </is>
      </c>
      <c r="P1" s="1" t="inlineStr">
        <is>
          <t>Ticket</t>
        </is>
      </c>
      <c r="Q1" s="1" t="inlineStr">
        <is>
          <t>Notes</t>
        </is>
      </c>
    </row>
    <row r="2">
      <c r="A2" s="2" t="inlineStr">
        <is>
          <t>VUL-001</t>
        </is>
      </c>
      <c r="B2" s="2" t="inlineStr">
        <is>
          <t>CVE-2024-1234</t>
        </is>
      </c>
      <c r="C2" s="2" t="inlineStr">
        <is>
          <t>9.8</t>
        </is>
      </c>
      <c r="D2" s="2" t="inlineStr">
        <is>
          <t>Critical</t>
        </is>
      </c>
      <c r="E2" s="2" t="inlineStr">
        <is>
          <t>ecomm-api-prod</t>
        </is>
      </c>
      <c r="F2" s="2" t="inlineStr">
        <is>
          <t>Container</t>
        </is>
      </c>
      <c r="G2" s="2" t="inlineStr">
        <is>
          <t>Production</t>
        </is>
      </c>
      <c r="H2" s="2" t="inlineStr">
        <is>
          <t>Platform Eng</t>
        </is>
      </c>
      <c r="I2" s="2" t="inlineStr">
        <is>
          <t>2024-11-01</t>
        </is>
      </c>
      <c r="J2" s="2">
        <f>TODAY()-DATEVALUE(I3)</f>
        <v/>
      </c>
      <c r="K2" s="2" t="inlineStr">
        <is>
          <t>Yes</t>
        </is>
      </c>
      <c r="L2" s="2" t="inlineStr">
        <is>
          <t>87%</t>
        </is>
      </c>
      <c r="M2" s="2" t="inlineStr">
        <is>
          <t>P1</t>
        </is>
      </c>
      <c r="N2" s="2" t="inlineStr">
        <is>
          <t>Open</t>
        </is>
      </c>
      <c r="O2" s="2" t="inlineStr">
        <is>
          <t>2024-11-15</t>
        </is>
      </c>
      <c r="P2" s="2" t="inlineStr">
        <is>
          <t>VUL-TICK-001</t>
        </is>
      </c>
      <c r="Q2" s="2" t="inlineStr">
        <is>
          <t>Active exploit in wild</t>
        </is>
      </c>
    </row>
    <row r="3">
      <c r="A3" s="3" t="inlineStr">
        <is>
          <t>VUL-002</t>
        </is>
      </c>
      <c r="B3" s="3" t="inlineStr">
        <is>
          <t>CVE-2024-5678</t>
        </is>
      </c>
      <c r="C3" s="3" t="inlineStr">
        <is>
          <t>8.1</t>
        </is>
      </c>
      <c r="D3" s="3" t="inlineStr">
        <is>
          <t>High</t>
        </is>
      </c>
      <c r="E3" s="3" t="inlineStr">
        <is>
          <t>payments-svc</t>
        </is>
      </c>
      <c r="F3" s="3" t="inlineStr">
        <is>
          <t>Container</t>
        </is>
      </c>
      <c r="G3" s="3" t="inlineStr">
        <is>
          <t>Production</t>
        </is>
      </c>
      <c r="H3" s="3" t="inlineStr">
        <is>
          <t>Platform Eng</t>
        </is>
      </c>
      <c r="I3" s="3" t="inlineStr">
        <is>
          <t>2024-11-05</t>
        </is>
      </c>
      <c r="J3" s="3">
        <f>TODAY()-DATEVALUE(I4)</f>
        <v/>
      </c>
      <c r="K3" s="3" t="inlineStr">
        <is>
          <t>Yes</t>
        </is>
      </c>
      <c r="L3" s="3" t="inlineStr">
        <is>
          <t>62%</t>
        </is>
      </c>
      <c r="M3" s="3" t="inlineStr">
        <is>
          <t>P2</t>
        </is>
      </c>
      <c r="N3" s="3" t="inlineStr">
        <is>
          <t>In Progress</t>
        </is>
      </c>
      <c r="O3" s="3" t="inlineStr">
        <is>
          <t>2024-11-22</t>
        </is>
      </c>
      <c r="P3" s="3" t="inlineStr">
        <is>
          <t>VUL-TICK-002</t>
        </is>
      </c>
      <c r="Q3" s="3" t="inlineStr">
        <is>
          <t>Patch tested in staging</t>
        </is>
      </c>
    </row>
    <row r="4">
      <c r="A4" s="2" t="inlineStr">
        <is>
          <t>VUL-003</t>
        </is>
      </c>
      <c r="B4" s="2" t="inlineStr">
        <is>
          <t>CVE-2023-9999</t>
        </is>
      </c>
      <c r="C4" s="2" t="inlineStr">
        <is>
          <t>7.5</t>
        </is>
      </c>
      <c r="D4" s="2" t="inlineStr">
        <is>
          <t>High</t>
        </is>
      </c>
      <c r="E4" s="2" t="inlineStr">
        <is>
          <t>vm-dev-mcd-01</t>
        </is>
      </c>
      <c r="F4" s="2" t="inlineStr">
        <is>
          <t>Virtual Machine</t>
        </is>
      </c>
      <c r="G4" s="2" t="inlineStr">
        <is>
          <t>Development</t>
        </is>
      </c>
      <c r="H4" s="2" t="inlineStr">
        <is>
          <t>DevOps</t>
        </is>
      </c>
      <c r="I4" s="2" t="inlineStr">
        <is>
          <t>2024-10-15</t>
        </is>
      </c>
      <c r="J4" s="2">
        <f>TODAY()-DATEVALUE(I5)</f>
        <v/>
      </c>
      <c r="K4" s="2" t="inlineStr">
        <is>
          <t>Yes</t>
        </is>
      </c>
      <c r="L4" s="2" t="inlineStr">
        <is>
          <t>45%</t>
        </is>
      </c>
      <c r="M4" s="2" t="inlineStr">
        <is>
          <t>P2</t>
        </is>
      </c>
      <c r="N4" s="2" t="inlineStr">
        <is>
          <t>Open</t>
        </is>
      </c>
      <c r="O4" s="2" t="inlineStr">
        <is>
          <t>2024-11-30</t>
        </is>
      </c>
      <c r="P4" s="2" t="inlineStr">
        <is>
          <t>VUL-TICK-003</t>
        </is>
      </c>
      <c r="Q4" s="2" t="inlineStr">
        <is>
          <t>Lower env; scheduled patch</t>
        </is>
      </c>
    </row>
    <row r="5">
      <c r="A5" s="3" t="inlineStr">
        <is>
          <t>VUL-004</t>
        </is>
      </c>
      <c r="B5" s="3" t="inlineStr">
        <is>
          <t>CVE-2024-2222</t>
        </is>
      </c>
      <c r="C5" s="3" t="inlineStr">
        <is>
          <t>6.5</t>
        </is>
      </c>
      <c r="D5" s="3" t="inlineStr">
        <is>
          <t>Medium</t>
        </is>
      </c>
      <c r="E5" s="3" t="inlineStr">
        <is>
          <t>analytics-worker</t>
        </is>
      </c>
      <c r="F5" s="3" t="inlineStr">
        <is>
          <t>Container</t>
        </is>
      </c>
      <c r="G5" s="3" t="inlineStr">
        <is>
          <t>Production</t>
        </is>
      </c>
      <c r="H5" s="3" t="inlineStr">
        <is>
          <t>Data Eng</t>
        </is>
      </c>
      <c r="I5" s="3" t="inlineStr">
        <is>
          <t>2024-11-10</t>
        </is>
      </c>
      <c r="J5" s="3">
        <f>TODAY()-DATEVALUE(I6)</f>
        <v/>
      </c>
      <c r="K5" s="3" t="inlineStr">
        <is>
          <t>Yes</t>
        </is>
      </c>
      <c r="L5" s="3" t="inlineStr">
        <is>
          <t>30%</t>
        </is>
      </c>
      <c r="M5" s="3" t="inlineStr">
        <is>
          <t>P3</t>
        </is>
      </c>
      <c r="N5" s="3" t="inlineStr">
        <is>
          <t>Open</t>
        </is>
      </c>
      <c r="O5" s="3" t="inlineStr">
        <is>
          <t>2024-12-15</t>
        </is>
      </c>
      <c r="P5" s="3" t="inlineStr">
        <is>
          <t>VUL-TICK-004</t>
        </is>
      </c>
      <c r="Q5" s="3" t="inlineStr">
        <is>
          <t>No known exploit</t>
        </is>
      </c>
    </row>
    <row r="6">
      <c r="A6" s="2" t="inlineStr">
        <is>
          <t>VUL-005</t>
        </is>
      </c>
      <c r="B6" s="2" t="inlineStr">
        <is>
          <t>CVE-2023-1111</t>
        </is>
      </c>
      <c r="C6" s="2" t="inlineStr">
        <is>
          <t>9.0</t>
        </is>
      </c>
      <c r="D6" s="2" t="inlineStr">
        <is>
          <t>Critical</t>
        </is>
      </c>
      <c r="E6" s="2" t="inlineStr">
        <is>
          <t>Legacy Batch Host</t>
        </is>
      </c>
      <c r="F6" s="2" t="inlineStr">
        <is>
          <t>Virtual Machine</t>
        </is>
      </c>
      <c r="G6" s="2" t="inlineStr">
        <is>
          <t>Production</t>
        </is>
      </c>
      <c r="H6" s="2" t="inlineStr">
        <is>
          <t>IT Ops</t>
        </is>
      </c>
      <c r="I6" s="2" t="inlineStr">
        <is>
          <t>2024-09-01</t>
        </is>
      </c>
      <c r="J6" s="2">
        <f>TODAY()-DATEVALUE(I7)</f>
        <v/>
      </c>
      <c r="K6" s="2" t="inlineStr">
        <is>
          <t>No</t>
        </is>
      </c>
      <c r="L6" s="2" t="inlineStr">
        <is>
          <t>75%</t>
        </is>
      </c>
      <c r="M6" s="2" t="inlineStr">
        <is>
          <t>P1</t>
        </is>
      </c>
      <c r="N6" s="2" t="inlineStr">
        <is>
          <t>Risk Accepted</t>
        </is>
      </c>
      <c r="O6" s="2" t="inlineStr">
        <is>
          <t>2025-01-15</t>
        </is>
      </c>
      <c r="P6" s="2" t="inlineStr">
        <is>
          <t>VUL-TICK-005</t>
        </is>
      </c>
      <c r="Q6" s="2" t="inlineStr">
        <is>
          <t>No patch; compensating controls in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